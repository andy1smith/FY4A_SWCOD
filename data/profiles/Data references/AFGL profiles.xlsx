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filterPrivacy="1" defaultThemeVersion="124226"/>
  <xr:revisionPtr revIDLastSave="0" documentId="13_ncr:1_{60B25339-113E-447D-8CBF-3DE00E6C5649}" xr6:coauthVersionLast="38" xr6:coauthVersionMax="38" xr10:uidLastSave="{00000000-0000-0000-0000-000000000000}"/>
  <bookViews>
    <workbookView xWindow="0" yWindow="0" windowWidth="23040" windowHeight="9000" xr2:uid="{00000000-000D-0000-FFFF-FFFF00000000}"/>
  </bookViews>
  <sheets>
    <sheet name="Table 1a" sheetId="1" r:id="rId1"/>
    <sheet name="Table 1b" sheetId="2" r:id="rId2"/>
    <sheet name="Table 1c" sheetId="3" r:id="rId3"/>
    <sheet name="Table 1d" sheetId="4" r:id="rId4"/>
    <sheet name="Table 1e" sheetId="5" r:id="rId5"/>
    <sheet name="Table 1f" sheetId="6" r:id="rId6"/>
    <sheet name="Table 2a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7" l="1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4" i="7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7" i="6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7" i="5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7" i="4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7" i="3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7" i="2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7" i="1"/>
</calcChain>
</file>

<file path=xl/sharedStrings.xml><?xml version="1.0" encoding="utf-8"?>
<sst xmlns="http://schemas.openxmlformats.org/spreadsheetml/2006/main" count="130" uniqueCount="38">
  <si>
    <t>Table 1a. Reference Atmospheric Model Profiles, Model 1. Tropical</t>
    <phoneticPr fontId="1" type="noConversion"/>
  </si>
  <si>
    <t>Model=1 Tropical</t>
    <phoneticPr fontId="1" type="noConversion"/>
  </si>
  <si>
    <t>ALT</t>
  </si>
  <si>
    <t>PRES</t>
  </si>
  <si>
    <t>TEMP</t>
  </si>
  <si>
    <t>DENSITY</t>
  </si>
  <si>
    <t>N20</t>
  </si>
  <si>
    <t>CH4</t>
  </si>
  <si>
    <t>H20</t>
    <phoneticPr fontId="1" type="noConversion"/>
  </si>
  <si>
    <t>O3</t>
    <phoneticPr fontId="1" type="noConversion"/>
  </si>
  <si>
    <t>CO</t>
    <phoneticPr fontId="1" type="noConversion"/>
  </si>
  <si>
    <t>(KM)</t>
  </si>
  <si>
    <t>(K)</t>
  </si>
  <si>
    <t>(CM-3)</t>
  </si>
  <si>
    <t>(PPMV)</t>
  </si>
  <si>
    <t>(MB)</t>
    <phoneticPr fontId="1" type="noConversion"/>
  </si>
  <si>
    <t xml:space="preserve">Table 1b. Reference Atmospheric Model Profiles, Model 2. Midlatltude Summer </t>
    <phoneticPr fontId="1" type="noConversion"/>
  </si>
  <si>
    <t xml:space="preserve">Model= Midlatltude Summer </t>
    <phoneticPr fontId="1" type="noConversion"/>
  </si>
  <si>
    <t>Table 1c. Reference Atmospheric Model Profiles, Model 3. Midlatltude Winter</t>
    <phoneticPr fontId="1" type="noConversion"/>
  </si>
  <si>
    <t>Model=3 Midlatltude Winter</t>
    <phoneticPr fontId="1" type="noConversion"/>
  </si>
  <si>
    <t>(PPMV)</t>
    <phoneticPr fontId="1" type="noConversion"/>
  </si>
  <si>
    <t>(PPMV)</t>
    <phoneticPr fontId="1" type="noConversion"/>
  </si>
  <si>
    <t>Table 1d. Reference Atmospheric Model Profiles, Model 4. Subarctic Summer</t>
    <phoneticPr fontId="1" type="noConversion"/>
  </si>
  <si>
    <t>Model=5 Subarctic Winter</t>
    <phoneticPr fontId="1" type="noConversion"/>
  </si>
  <si>
    <t>Table 1e. Reference Atmospheric Model Profiles, Model 4. Subarctic Winter</t>
    <phoneticPr fontId="1" type="noConversion"/>
  </si>
  <si>
    <t>Table 1d. Reference Atmospheric Model Profiles, Model 6. U.S. Standard</t>
    <phoneticPr fontId="1" type="noConversion"/>
  </si>
  <si>
    <t>Model=5 U.S. Standard, 1975</t>
    <phoneticPr fontId="1" type="noConversion"/>
  </si>
  <si>
    <t>Table 2a. Constituent Profiles (ppmv), H20, CO2, O3, N20, CO, CH4, O2</t>
    <phoneticPr fontId="1" type="noConversion"/>
  </si>
  <si>
    <t>1  H20</t>
    <phoneticPr fontId="1" type="noConversion"/>
  </si>
  <si>
    <t>2  CO2</t>
    <phoneticPr fontId="1" type="noConversion"/>
  </si>
  <si>
    <t>3  O3</t>
    <phoneticPr fontId="1" type="noConversion"/>
  </si>
  <si>
    <t>4  N2O</t>
    <phoneticPr fontId="1" type="noConversion"/>
  </si>
  <si>
    <t>5  CO</t>
    <phoneticPr fontId="1" type="noConversion"/>
  </si>
  <si>
    <t>6  CH4</t>
    <phoneticPr fontId="1" type="noConversion"/>
  </si>
  <si>
    <t>7  O2</t>
    <phoneticPr fontId="1" type="noConversion"/>
  </si>
  <si>
    <t>(KM)</t>
    <phoneticPr fontId="1" type="noConversion"/>
  </si>
  <si>
    <t>Model=4 Subarctic Summer</t>
  </si>
  <si>
    <t>22  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</si>
</sst>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2" fontId="0" fillId="0" borderId="0" xfId="0" quotePrefix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workbookViewId="0">
      <selection activeCell="J18" sqref="J18"/>
    </sheetView>
  </sheetViews>
  <sheetFormatPr defaultRowHeight="14.4"/>
  <cols>
    <col min="1" max="1" width="9" style="3"/>
    <col min="2" max="2" width="11.6640625" style="4" bestFit="1" customWidth="1"/>
    <col min="3" max="3" width="10.44140625" style="2" bestFit="1" customWidth="1"/>
    <col min="4" max="4" width="11.6640625" style="4" bestFit="1" customWidth="1"/>
    <col min="5" max="5" width="9.44140625" bestFit="1" customWidth="1"/>
    <col min="6" max="6" width="10.44140625" bestFit="1" customWidth="1"/>
    <col min="7" max="7" width="9.44140625" bestFit="1" customWidth="1"/>
    <col min="8" max="8" width="11.6640625" bestFit="1" customWidth="1"/>
    <col min="9" max="9" width="9.44140625" style="1" bestFit="1" customWidth="1"/>
    <col min="10" max="11" width="9.44140625" bestFit="1" customWidth="1"/>
  </cols>
  <sheetData>
    <row r="1" spans="1:11">
      <c r="A1" s="3" t="s">
        <v>0</v>
      </c>
    </row>
    <row r="2" spans="1:11">
      <c r="A2" s="3" t="s">
        <v>1</v>
      </c>
    </row>
    <row r="4" spans="1:11">
      <c r="A4" s="3" t="s">
        <v>2</v>
      </c>
      <c r="B4" s="4" t="s">
        <v>3</v>
      </c>
      <c r="C4" s="2" t="s">
        <v>4</v>
      </c>
      <c r="D4" s="4" t="s">
        <v>5</v>
      </c>
      <c r="E4" t="s">
        <v>8</v>
      </c>
      <c r="F4" t="s">
        <v>9</v>
      </c>
      <c r="G4" t="s">
        <v>6</v>
      </c>
      <c r="H4" t="s">
        <v>10</v>
      </c>
      <c r="I4" s="1" t="s">
        <v>7</v>
      </c>
    </row>
    <row r="5" spans="1:11">
      <c r="A5" s="3" t="s">
        <v>11</v>
      </c>
      <c r="B5" s="4" t="s">
        <v>15</v>
      </c>
      <c r="C5" s="2" t="s">
        <v>12</v>
      </c>
      <c r="D5" s="4" t="s">
        <v>13</v>
      </c>
      <c r="E5" t="s">
        <v>21</v>
      </c>
      <c r="F5" t="s">
        <v>14</v>
      </c>
      <c r="G5" t="s">
        <v>14</v>
      </c>
      <c r="H5" t="s">
        <v>14</v>
      </c>
      <c r="I5" s="1" t="s">
        <v>14</v>
      </c>
    </row>
    <row r="7" spans="1:11">
      <c r="A7" s="3">
        <v>0</v>
      </c>
      <c r="B7" s="4">
        <v>1013</v>
      </c>
      <c r="C7" s="2">
        <v>299.7</v>
      </c>
      <c r="D7" s="4">
        <v>2.45E+19</v>
      </c>
      <c r="E7" s="1">
        <v>25900</v>
      </c>
      <c r="F7" s="1">
        <v>2.9700000000000001E-2</v>
      </c>
      <c r="G7" s="1">
        <v>0.32</v>
      </c>
      <c r="H7" s="1">
        <v>0.15</v>
      </c>
      <c r="I7" s="1">
        <v>1.7</v>
      </c>
      <c r="J7" s="1">
        <f>E7/$E$7</f>
        <v>1</v>
      </c>
    </row>
    <row r="8" spans="1:11">
      <c r="A8" s="3">
        <v>1</v>
      </c>
      <c r="B8" s="4">
        <v>904</v>
      </c>
      <c r="C8" s="2">
        <v>293.7</v>
      </c>
      <c r="D8" s="4">
        <v>2.231E+19</v>
      </c>
      <c r="E8" s="1">
        <v>19500</v>
      </c>
      <c r="F8" s="1">
        <v>3.15E-2</v>
      </c>
      <c r="G8" s="1">
        <v>0.32</v>
      </c>
      <c r="H8" s="1">
        <v>0.14499999999999999</v>
      </c>
      <c r="I8" s="1">
        <v>1.7</v>
      </c>
      <c r="J8" s="1">
        <f t="shared" ref="J8:J56" si="0">E8/$E$7</f>
        <v>0.75289575289575295</v>
      </c>
    </row>
    <row r="9" spans="1:11">
      <c r="A9" s="3">
        <v>2</v>
      </c>
      <c r="B9" s="4">
        <v>805</v>
      </c>
      <c r="C9" s="2">
        <v>287.7</v>
      </c>
      <c r="D9" s="4">
        <v>2.028E+19</v>
      </c>
      <c r="E9" s="1">
        <v>15300</v>
      </c>
      <c r="F9" s="1">
        <v>3.3399999999999999E-2</v>
      </c>
      <c r="G9" s="1">
        <v>0.32</v>
      </c>
      <c r="H9" s="1">
        <v>0.14000000000000001</v>
      </c>
      <c r="I9" s="1">
        <v>1.7</v>
      </c>
      <c r="J9" s="1">
        <f t="shared" si="0"/>
        <v>0.59073359073359077</v>
      </c>
    </row>
    <row r="10" spans="1:11">
      <c r="A10" s="3">
        <v>3</v>
      </c>
      <c r="B10" s="4">
        <v>715</v>
      </c>
      <c r="C10" s="2">
        <v>283.7</v>
      </c>
      <c r="D10" s="4">
        <v>1.827E+19</v>
      </c>
      <c r="E10" s="1">
        <v>8600</v>
      </c>
      <c r="F10" s="1">
        <v>3.5000000000000003E-2</v>
      </c>
      <c r="G10" s="1">
        <v>0.32</v>
      </c>
      <c r="H10" s="1">
        <v>0.13500000000000001</v>
      </c>
      <c r="I10" s="1">
        <v>1.7</v>
      </c>
      <c r="J10" s="1">
        <f t="shared" si="0"/>
        <v>0.33204633204633205</v>
      </c>
    </row>
    <row r="11" spans="1:11">
      <c r="A11" s="3">
        <v>4</v>
      </c>
      <c r="B11" s="4">
        <v>633</v>
      </c>
      <c r="C11" s="2">
        <v>277</v>
      </c>
      <c r="D11" s="4">
        <v>1.656E+19</v>
      </c>
      <c r="E11" s="1">
        <v>4440</v>
      </c>
      <c r="F11" s="1">
        <v>3.56E-2</v>
      </c>
      <c r="G11" s="1">
        <v>0.32</v>
      </c>
      <c r="H11" s="1">
        <v>0.13100000000000001</v>
      </c>
      <c r="I11" s="1">
        <v>1.7</v>
      </c>
      <c r="J11" s="1">
        <f t="shared" si="0"/>
        <v>0.17142857142857143</v>
      </c>
    </row>
    <row r="12" spans="1:11">
      <c r="A12" s="3">
        <v>5</v>
      </c>
      <c r="B12" s="4">
        <v>559</v>
      </c>
      <c r="C12" s="2">
        <v>270.3</v>
      </c>
      <c r="D12" s="4">
        <v>1.499E+19</v>
      </c>
      <c r="E12" s="1">
        <v>3350</v>
      </c>
      <c r="F12" s="1">
        <v>3.7699999999999997E-2</v>
      </c>
      <c r="G12" s="1">
        <v>0.32</v>
      </c>
      <c r="H12" s="1">
        <v>0.13</v>
      </c>
      <c r="I12" s="1">
        <v>1.7</v>
      </c>
      <c r="J12" s="1">
        <f t="shared" si="0"/>
        <v>0.12934362934362933</v>
      </c>
    </row>
    <row r="13" spans="1:11">
      <c r="A13" s="3">
        <v>6</v>
      </c>
      <c r="B13" s="4">
        <v>492</v>
      </c>
      <c r="C13" s="2">
        <v>263.60000000000002</v>
      </c>
      <c r="D13" s="4">
        <v>1.353E+19</v>
      </c>
      <c r="E13" s="1">
        <v>2100</v>
      </c>
      <c r="F13" s="1">
        <v>3.9899999999999998E-2</v>
      </c>
      <c r="G13" s="1">
        <v>0.32</v>
      </c>
      <c r="H13" s="1">
        <v>0.129</v>
      </c>
      <c r="I13" s="1">
        <v>1.7</v>
      </c>
      <c r="J13" s="1">
        <f t="shared" si="0"/>
        <v>8.1081081081081086E-2</v>
      </c>
      <c r="K13" s="1"/>
    </row>
    <row r="14" spans="1:11">
      <c r="A14" s="3">
        <v>7</v>
      </c>
      <c r="B14" s="4">
        <v>432</v>
      </c>
      <c r="C14" s="2">
        <v>257</v>
      </c>
      <c r="D14" s="4">
        <v>1.218E+19</v>
      </c>
      <c r="E14" s="1">
        <v>1290</v>
      </c>
      <c r="F14" s="1">
        <v>4.2200000000000001E-2</v>
      </c>
      <c r="G14" s="1">
        <v>0.32</v>
      </c>
      <c r="H14" s="1">
        <v>0.125</v>
      </c>
      <c r="I14" s="1">
        <v>1.7</v>
      </c>
      <c r="J14" s="1">
        <f t="shared" si="0"/>
        <v>4.9806949806949809E-2</v>
      </c>
    </row>
    <row r="15" spans="1:11">
      <c r="A15" s="3">
        <v>8</v>
      </c>
      <c r="B15" s="4">
        <v>378</v>
      </c>
      <c r="C15" s="2">
        <v>250.3</v>
      </c>
      <c r="D15" s="4">
        <v>1.095E+19</v>
      </c>
      <c r="E15" s="1">
        <v>764</v>
      </c>
      <c r="F15" s="1">
        <v>4.4699999999999997E-2</v>
      </c>
      <c r="G15" s="1">
        <v>0.32</v>
      </c>
      <c r="H15" s="1">
        <v>0.11899999999999999</v>
      </c>
      <c r="I15" s="1">
        <v>1.7</v>
      </c>
      <c r="J15" s="1">
        <f t="shared" si="0"/>
        <v>2.9498069498069497E-2</v>
      </c>
    </row>
    <row r="16" spans="1:11">
      <c r="A16" s="3">
        <v>9</v>
      </c>
      <c r="B16" s="4">
        <v>329</v>
      </c>
      <c r="C16" s="2">
        <v>243.6</v>
      </c>
      <c r="D16" s="4">
        <v>9.789E+18</v>
      </c>
      <c r="E16" s="1">
        <v>410</v>
      </c>
      <c r="F16" s="1">
        <v>0.05</v>
      </c>
      <c r="G16" s="1">
        <v>0.32</v>
      </c>
      <c r="H16" s="1">
        <v>0.109</v>
      </c>
      <c r="I16" s="1">
        <v>1.69</v>
      </c>
      <c r="J16" s="1">
        <f t="shared" si="0"/>
        <v>1.5830115830115829E-2</v>
      </c>
    </row>
    <row r="17" spans="1:18">
      <c r="A17" s="3">
        <v>10</v>
      </c>
      <c r="B17" s="4">
        <v>286</v>
      </c>
      <c r="C17" s="2">
        <v>237</v>
      </c>
      <c r="D17" s="4">
        <v>8.747E+18</v>
      </c>
      <c r="E17" s="1">
        <v>191</v>
      </c>
      <c r="F17" s="1">
        <v>5.6000000000000001E-2</v>
      </c>
      <c r="G17" s="1">
        <v>0.318</v>
      </c>
      <c r="H17" s="1">
        <v>9.9599999999999994E-2</v>
      </c>
      <c r="I17" s="1">
        <v>1.69</v>
      </c>
      <c r="J17" s="1">
        <f t="shared" si="0"/>
        <v>7.3745173745173743E-3</v>
      </c>
    </row>
    <row r="18" spans="1:18">
      <c r="A18" s="3">
        <v>11</v>
      </c>
      <c r="B18" s="4">
        <v>247</v>
      </c>
      <c r="C18" s="2">
        <v>230.1</v>
      </c>
      <c r="D18" s="4">
        <v>7.78E+18</v>
      </c>
      <c r="E18" s="1">
        <v>73.099999999999994</v>
      </c>
      <c r="F18" s="1">
        <v>6.6100000000000006E-2</v>
      </c>
      <c r="G18" s="1">
        <v>0.314</v>
      </c>
      <c r="H18" s="1">
        <v>8.9599999999999999E-2</v>
      </c>
      <c r="I18" s="1">
        <v>1.68</v>
      </c>
      <c r="J18" s="1">
        <f t="shared" si="0"/>
        <v>2.8223938223938222E-3</v>
      </c>
    </row>
    <row r="19" spans="1:18">
      <c r="A19" s="5">
        <v>12</v>
      </c>
      <c r="B19" s="4">
        <v>213</v>
      </c>
      <c r="C19" s="2">
        <v>223.6</v>
      </c>
      <c r="D19" s="4">
        <v>6.904E+18</v>
      </c>
      <c r="E19" s="1">
        <v>29.1</v>
      </c>
      <c r="F19" s="1">
        <v>7.8200000000000006E-2</v>
      </c>
      <c r="G19" s="1">
        <v>0.31</v>
      </c>
      <c r="H19" s="1">
        <v>7.8100000000000003E-2</v>
      </c>
      <c r="I19" s="1">
        <v>1.66</v>
      </c>
      <c r="J19" s="1">
        <f t="shared" si="0"/>
        <v>1.1235521235521237E-3</v>
      </c>
    </row>
    <row r="20" spans="1:18">
      <c r="A20" s="3">
        <v>13</v>
      </c>
      <c r="B20" s="4">
        <v>182</v>
      </c>
      <c r="C20" s="2">
        <v>217</v>
      </c>
      <c r="D20" s="4">
        <v>6.079E+18</v>
      </c>
      <c r="E20" s="1">
        <v>9</v>
      </c>
      <c r="F20" s="1">
        <v>9.2899999999999996E-2</v>
      </c>
      <c r="G20" s="1">
        <v>0.30499999999999999</v>
      </c>
      <c r="H20" s="1">
        <v>6.3700000000000007E-2</v>
      </c>
      <c r="I20" s="1">
        <v>1.65</v>
      </c>
      <c r="J20" s="1">
        <f t="shared" si="0"/>
        <v>3.4749034749034747E-4</v>
      </c>
      <c r="M20" s="1"/>
      <c r="N20" s="1"/>
      <c r="R20" s="1"/>
    </row>
    <row r="21" spans="1:18">
      <c r="A21" s="3">
        <v>14</v>
      </c>
      <c r="B21" s="4">
        <v>156</v>
      </c>
      <c r="C21" s="2">
        <v>210.3</v>
      </c>
      <c r="D21" s="4">
        <v>5.377E+18</v>
      </c>
      <c r="E21" s="1">
        <v>6.22</v>
      </c>
      <c r="F21" s="1">
        <v>0.105</v>
      </c>
      <c r="G21" s="1">
        <v>0.3</v>
      </c>
      <c r="H21" s="1">
        <v>5.0299999999999997E-2</v>
      </c>
      <c r="I21" s="1">
        <v>1.63</v>
      </c>
      <c r="J21" s="1">
        <f t="shared" si="0"/>
        <v>2.4015444015444015E-4</v>
      </c>
    </row>
    <row r="22" spans="1:18">
      <c r="A22" s="3">
        <v>15</v>
      </c>
      <c r="B22" s="4">
        <v>132</v>
      </c>
      <c r="C22" s="2">
        <v>203.7</v>
      </c>
      <c r="D22" s="4">
        <v>4.697E+18</v>
      </c>
      <c r="E22" s="1">
        <v>4</v>
      </c>
      <c r="F22" s="1">
        <v>0.126</v>
      </c>
      <c r="G22" s="1">
        <v>0.29399999999999998</v>
      </c>
      <c r="H22" s="1">
        <v>3.9399999999999998E-2</v>
      </c>
      <c r="I22" s="1">
        <v>1.61</v>
      </c>
      <c r="J22" s="1">
        <f t="shared" si="0"/>
        <v>1.5444015444015445E-4</v>
      </c>
    </row>
    <row r="23" spans="1:18">
      <c r="A23" s="3">
        <v>16</v>
      </c>
      <c r="B23" s="4">
        <v>111</v>
      </c>
      <c r="C23" s="2">
        <v>197</v>
      </c>
      <c r="D23" s="4">
        <v>4.084E+18</v>
      </c>
      <c r="E23" s="1">
        <v>3</v>
      </c>
      <c r="F23" s="1">
        <v>0.14399999999999999</v>
      </c>
      <c r="G23" s="1">
        <v>0.28100000000000003</v>
      </c>
      <c r="H23" s="1">
        <v>3.0700000000000002E-2</v>
      </c>
      <c r="I23" s="1">
        <v>1.58</v>
      </c>
      <c r="J23" s="1">
        <f t="shared" si="0"/>
        <v>1.1583011583011582E-4</v>
      </c>
    </row>
    <row r="24" spans="1:18">
      <c r="A24" s="3">
        <v>17</v>
      </c>
      <c r="B24" s="4">
        <v>93.7</v>
      </c>
      <c r="C24" s="2">
        <v>194.8</v>
      </c>
      <c r="D24" s="4">
        <v>3.486E+18</v>
      </c>
      <c r="E24" s="1">
        <v>2.9</v>
      </c>
      <c r="F24" s="1">
        <v>0.25</v>
      </c>
      <c r="G24" s="1">
        <v>0.27800000000000002</v>
      </c>
      <c r="H24" s="1">
        <v>2.4899999999999999E-2</v>
      </c>
      <c r="I24" s="1">
        <v>1.55</v>
      </c>
      <c r="J24" s="1">
        <f t="shared" si="0"/>
        <v>1.1196911196911197E-4</v>
      </c>
    </row>
    <row r="25" spans="1:18">
      <c r="A25" s="3">
        <v>18</v>
      </c>
      <c r="B25" s="4">
        <v>78.900000000000006</v>
      </c>
      <c r="C25" s="2">
        <v>198.8</v>
      </c>
      <c r="D25" s="4">
        <v>2.877E+18</v>
      </c>
      <c r="E25" s="1">
        <v>2.75</v>
      </c>
      <c r="F25" s="1">
        <v>0.5</v>
      </c>
      <c r="G25" s="1">
        <v>0.26700000000000002</v>
      </c>
      <c r="H25" s="1">
        <v>1.9699999999999999E-2</v>
      </c>
      <c r="I25" s="1">
        <v>1.52</v>
      </c>
      <c r="J25" s="1">
        <f t="shared" si="0"/>
        <v>1.0617760617760618E-4</v>
      </c>
    </row>
    <row r="26" spans="1:18">
      <c r="A26" s="3">
        <v>19</v>
      </c>
      <c r="B26" s="4">
        <v>66.599999999999994</v>
      </c>
      <c r="C26" s="2">
        <v>202.7</v>
      </c>
      <c r="D26" s="4">
        <v>2.381E+18</v>
      </c>
      <c r="E26" s="1">
        <v>2.6</v>
      </c>
      <c r="F26" s="1">
        <v>0.95</v>
      </c>
      <c r="G26" s="1">
        <v>0.253</v>
      </c>
      <c r="H26" s="1">
        <v>1.55E-2</v>
      </c>
      <c r="I26" s="1">
        <v>1.48</v>
      </c>
      <c r="J26" s="1">
        <f t="shared" si="0"/>
        <v>1.0038610038610039E-4</v>
      </c>
    </row>
    <row r="27" spans="1:18">
      <c r="A27" s="3">
        <v>20</v>
      </c>
      <c r="B27" s="4">
        <v>56.5</v>
      </c>
      <c r="C27" s="2">
        <v>206.7</v>
      </c>
      <c r="D27" s="4">
        <v>1.981E+18</v>
      </c>
      <c r="E27" s="1">
        <v>2.6</v>
      </c>
      <c r="F27" s="1">
        <v>1.4</v>
      </c>
      <c r="G27" s="1">
        <v>0.23699999999999999</v>
      </c>
      <c r="H27" s="1">
        <v>1.3299999999999999E-2</v>
      </c>
      <c r="I27" s="1">
        <v>1.42</v>
      </c>
      <c r="J27" s="1">
        <f t="shared" si="0"/>
        <v>1.0038610038610039E-4</v>
      </c>
    </row>
    <row r="28" spans="1:18">
      <c r="A28" s="3">
        <v>21</v>
      </c>
      <c r="B28" s="4">
        <v>48</v>
      </c>
      <c r="C28" s="2">
        <v>210.7</v>
      </c>
      <c r="D28" s="4">
        <v>1.651E+18</v>
      </c>
      <c r="E28" s="1">
        <v>2.65</v>
      </c>
      <c r="F28" s="1">
        <v>1.8</v>
      </c>
      <c r="G28" s="1">
        <v>0.219</v>
      </c>
      <c r="H28" s="1">
        <v>1.23E-2</v>
      </c>
      <c r="I28" s="1">
        <v>1.36</v>
      </c>
      <c r="J28" s="1">
        <f t="shared" si="0"/>
        <v>1.0231660231660232E-4</v>
      </c>
    </row>
    <row r="29" spans="1:18">
      <c r="A29" s="3">
        <v>22</v>
      </c>
      <c r="B29" s="4">
        <v>40.9</v>
      </c>
      <c r="C29" s="2">
        <v>214.6</v>
      </c>
      <c r="D29" s="4">
        <v>1.381E+18</v>
      </c>
      <c r="E29" s="1">
        <v>2.8</v>
      </c>
      <c r="F29" s="1">
        <v>2.4</v>
      </c>
      <c r="G29" s="1">
        <v>0.20499999999999999</v>
      </c>
      <c r="H29" s="1">
        <v>1.23E-2</v>
      </c>
      <c r="I29" s="1">
        <v>1.27</v>
      </c>
      <c r="J29" s="1">
        <f t="shared" si="0"/>
        <v>1.0810810810810811E-4</v>
      </c>
    </row>
    <row r="30" spans="1:18">
      <c r="A30" s="3">
        <v>23</v>
      </c>
      <c r="B30" s="4">
        <v>35</v>
      </c>
      <c r="C30" s="2">
        <v>217</v>
      </c>
      <c r="D30" s="4">
        <v>1.169E+18</v>
      </c>
      <c r="E30" s="1">
        <v>2.9</v>
      </c>
      <c r="F30" s="1">
        <v>3.4</v>
      </c>
      <c r="G30" s="1">
        <v>0.19700000000000001</v>
      </c>
      <c r="H30" s="1">
        <v>1.3100000000000001E-2</v>
      </c>
      <c r="I30" s="1">
        <v>1.19</v>
      </c>
      <c r="J30" s="1">
        <f t="shared" si="0"/>
        <v>1.1196911196911197E-4</v>
      </c>
    </row>
    <row r="31" spans="1:18">
      <c r="A31" s="3">
        <v>24</v>
      </c>
      <c r="B31" s="4">
        <v>30</v>
      </c>
      <c r="C31" s="2">
        <v>219.2</v>
      </c>
      <c r="D31" s="4">
        <v>9.92E+17</v>
      </c>
      <c r="E31" s="1">
        <v>3.2</v>
      </c>
      <c r="F31" s="1">
        <v>4.3</v>
      </c>
      <c r="G31" s="1">
        <v>0.188</v>
      </c>
      <c r="H31" s="1">
        <v>1.4E-2</v>
      </c>
      <c r="I31" s="1">
        <v>1.1200000000000001</v>
      </c>
      <c r="J31" s="1">
        <f t="shared" si="0"/>
        <v>1.2355212355212355E-4</v>
      </c>
    </row>
    <row r="32" spans="1:18">
      <c r="A32" s="3">
        <v>25</v>
      </c>
      <c r="B32" s="4">
        <v>25.7</v>
      </c>
      <c r="C32" s="2">
        <v>221.4</v>
      </c>
      <c r="D32" s="4">
        <v>8.413E+17</v>
      </c>
      <c r="E32" s="1">
        <v>3.25</v>
      </c>
      <c r="F32" s="1">
        <v>5.4</v>
      </c>
      <c r="G32" s="1">
        <v>0.17599999999999999</v>
      </c>
      <c r="H32" s="1">
        <v>1.52E-2</v>
      </c>
      <c r="I32" s="1">
        <v>1.06</v>
      </c>
      <c r="J32" s="1">
        <f t="shared" si="0"/>
        <v>1.2548262548262549E-4</v>
      </c>
      <c r="K32" s="1"/>
    </row>
    <row r="33" spans="1:10">
      <c r="A33" s="3">
        <v>27.5</v>
      </c>
      <c r="B33" s="4">
        <v>17.63</v>
      </c>
      <c r="C33" s="2">
        <v>227</v>
      </c>
      <c r="D33" s="4">
        <v>5.629E+17</v>
      </c>
      <c r="E33" s="1">
        <v>3.6</v>
      </c>
      <c r="F33" s="1">
        <v>7.8</v>
      </c>
      <c r="G33" s="1">
        <v>0.159</v>
      </c>
      <c r="H33" s="1">
        <v>1.72E-2</v>
      </c>
      <c r="I33" s="1">
        <v>0.98699999999999999</v>
      </c>
      <c r="J33" s="1">
        <f t="shared" si="0"/>
        <v>1.3899613899613899E-4</v>
      </c>
    </row>
    <row r="34" spans="1:10">
      <c r="A34" s="3">
        <v>30</v>
      </c>
      <c r="B34" s="4">
        <v>12.2</v>
      </c>
      <c r="C34" s="2">
        <v>232</v>
      </c>
      <c r="D34" s="4">
        <v>3.807E+17</v>
      </c>
      <c r="E34" s="1">
        <v>4</v>
      </c>
      <c r="F34" s="1">
        <v>9.3000000000000007</v>
      </c>
      <c r="G34" s="1">
        <v>0.14199999999999999</v>
      </c>
      <c r="H34" s="1">
        <v>0.02</v>
      </c>
      <c r="I34" s="1">
        <v>0.91400000000000003</v>
      </c>
      <c r="J34" s="1">
        <f t="shared" si="0"/>
        <v>1.5444015444015445E-4</v>
      </c>
    </row>
    <row r="35" spans="1:10">
      <c r="A35" s="3">
        <v>32.5</v>
      </c>
      <c r="B35" s="4">
        <v>8.52</v>
      </c>
      <c r="C35" s="2">
        <v>237.7</v>
      </c>
      <c r="D35" s="4">
        <v>2.598E+17</v>
      </c>
      <c r="E35" s="1">
        <v>4.3</v>
      </c>
      <c r="F35" s="1">
        <v>9.85</v>
      </c>
      <c r="G35" s="1">
        <v>0.11700000000000001</v>
      </c>
      <c r="H35" s="1">
        <v>2.2700000000000001E-2</v>
      </c>
      <c r="I35" s="1">
        <v>0.83</v>
      </c>
      <c r="J35" s="1">
        <f t="shared" si="0"/>
        <v>1.6602316602316601E-4</v>
      </c>
    </row>
    <row r="36" spans="1:10">
      <c r="A36" s="3">
        <v>35</v>
      </c>
      <c r="B36" s="4">
        <v>6</v>
      </c>
      <c r="C36" s="2">
        <v>243.1</v>
      </c>
      <c r="D36" s="4">
        <v>1.789E+17</v>
      </c>
      <c r="E36" s="1">
        <v>4.5999999999999996</v>
      </c>
      <c r="F36" s="1">
        <v>9.6999999999999993</v>
      </c>
      <c r="G36" s="1">
        <v>9.1999999999999998E-2</v>
      </c>
      <c r="H36" s="1">
        <v>2.4899999999999999E-2</v>
      </c>
      <c r="I36" s="1">
        <v>0.746</v>
      </c>
      <c r="J36" s="1">
        <f t="shared" si="0"/>
        <v>1.7760617760617759E-4</v>
      </c>
    </row>
    <row r="37" spans="1:10">
      <c r="A37" s="3">
        <v>37.5</v>
      </c>
      <c r="B37" s="4">
        <v>4.26</v>
      </c>
      <c r="C37" s="2">
        <v>248</v>
      </c>
      <c r="D37" s="4">
        <v>1.243E+17</v>
      </c>
      <c r="E37" s="1">
        <v>4.9000000000000004</v>
      </c>
      <c r="F37" s="1">
        <v>8.8010000000000002</v>
      </c>
      <c r="G37" s="1">
        <v>6.6900000000000001E-2</v>
      </c>
      <c r="H37" s="1">
        <v>2.7400000000000001E-2</v>
      </c>
      <c r="I37" s="1">
        <v>0.66200000000000003</v>
      </c>
      <c r="J37" s="1">
        <f t="shared" si="0"/>
        <v>1.891891891891892E-4</v>
      </c>
    </row>
    <row r="38" spans="1:10">
      <c r="A38" s="3">
        <v>40</v>
      </c>
      <c r="B38" s="4">
        <v>3.05</v>
      </c>
      <c r="C38" s="2">
        <v>254</v>
      </c>
      <c r="D38" s="4">
        <v>8.703E+16</v>
      </c>
      <c r="E38" s="1">
        <v>5.2</v>
      </c>
      <c r="F38" s="1">
        <v>7.5</v>
      </c>
      <c r="G38" s="1">
        <v>4.5100000000000001E-2</v>
      </c>
      <c r="H38" s="1">
        <v>3.1E-2</v>
      </c>
      <c r="I38" s="1">
        <v>0.56399999999999995</v>
      </c>
      <c r="J38" s="1">
        <f t="shared" si="0"/>
        <v>2.0077220077220078E-4</v>
      </c>
    </row>
    <row r="39" spans="1:10">
      <c r="A39" s="3">
        <v>42.5</v>
      </c>
      <c r="B39" s="4">
        <v>2.2000000000000002</v>
      </c>
      <c r="C39" s="2">
        <v>259.39999999999998</v>
      </c>
      <c r="D39" s="4">
        <v>6.147E+16</v>
      </c>
      <c r="E39" s="1">
        <v>5.5</v>
      </c>
      <c r="F39" s="1">
        <v>5.9</v>
      </c>
      <c r="G39" s="1">
        <v>2.75E-2</v>
      </c>
      <c r="H39" s="1">
        <v>3.5099999999999999E-2</v>
      </c>
      <c r="I39" s="1">
        <v>0.46100000000000002</v>
      </c>
      <c r="J39" s="1">
        <f t="shared" si="0"/>
        <v>2.1235521235521236E-4</v>
      </c>
    </row>
    <row r="40" spans="1:10">
      <c r="A40" s="3">
        <v>45</v>
      </c>
      <c r="B40" s="4">
        <v>1.59</v>
      </c>
      <c r="C40" s="2">
        <v>264.8</v>
      </c>
      <c r="D40" s="4">
        <v>4.352E+16</v>
      </c>
      <c r="E40" s="1">
        <v>5.7</v>
      </c>
      <c r="F40" s="1">
        <v>4.5</v>
      </c>
      <c r="G40" s="1">
        <v>1.5900000000000001E-2</v>
      </c>
      <c r="H40" s="1">
        <v>3.9899999999999998E-2</v>
      </c>
      <c r="I40" s="1">
        <v>0.36299999999999999</v>
      </c>
      <c r="J40" s="1">
        <f t="shared" si="0"/>
        <v>2.2007722007722009E-4</v>
      </c>
    </row>
    <row r="41" spans="1:10">
      <c r="A41" s="3">
        <v>47.5</v>
      </c>
      <c r="B41" s="4">
        <v>1.1599999999999999</v>
      </c>
      <c r="C41" s="2">
        <v>269.60000000000002</v>
      </c>
      <c r="D41" s="4">
        <v>3.119E+16</v>
      </c>
      <c r="E41" s="1">
        <v>5.9</v>
      </c>
      <c r="F41" s="1">
        <v>3.45</v>
      </c>
      <c r="G41" s="1">
        <v>9.3799999999999994E-3</v>
      </c>
      <c r="H41" s="1">
        <v>4.48E-2</v>
      </c>
      <c r="I41" s="1">
        <v>0.27700000000000002</v>
      </c>
      <c r="J41" s="1">
        <f t="shared" si="0"/>
        <v>2.2779922779922782E-4</v>
      </c>
    </row>
    <row r="42" spans="1:10">
      <c r="A42" s="3">
        <v>50</v>
      </c>
      <c r="B42" s="4">
        <v>0.85399999999999998</v>
      </c>
      <c r="C42" s="2">
        <v>270.2</v>
      </c>
      <c r="D42" s="4">
        <v>2.291E+16</v>
      </c>
      <c r="E42" s="1">
        <v>6</v>
      </c>
      <c r="F42" s="1">
        <v>2.8</v>
      </c>
      <c r="G42" s="1">
        <v>4.7499999999999999E-3</v>
      </c>
      <c r="H42" s="1">
        <v>5.0900000000000001E-2</v>
      </c>
      <c r="I42" s="1">
        <v>0.21</v>
      </c>
      <c r="J42" s="1">
        <f t="shared" si="0"/>
        <v>2.3166023166023165E-4</v>
      </c>
    </row>
    <row r="43" spans="1:10">
      <c r="A43" s="3">
        <v>55</v>
      </c>
      <c r="B43" s="4">
        <v>0.45600000000000002</v>
      </c>
      <c r="C43" s="2">
        <v>263.39999999999998</v>
      </c>
      <c r="D43" s="4">
        <v>1.255E+16</v>
      </c>
      <c r="E43" s="1">
        <v>6</v>
      </c>
      <c r="F43" s="1">
        <v>1.8</v>
      </c>
      <c r="G43" s="1">
        <v>3.0000000000000001E-3</v>
      </c>
      <c r="H43" s="1">
        <v>5.9900000000000002E-2</v>
      </c>
      <c r="I43" s="1">
        <v>0.16500000000000001</v>
      </c>
      <c r="J43" s="1">
        <f t="shared" si="0"/>
        <v>2.3166023166023165E-4</v>
      </c>
    </row>
    <row r="44" spans="1:10">
      <c r="A44" s="3">
        <v>60</v>
      </c>
      <c r="B44" s="4">
        <v>0.23899999999999999</v>
      </c>
      <c r="C44" s="2">
        <v>253.1</v>
      </c>
      <c r="D44" s="4">
        <v>6844000000000000</v>
      </c>
      <c r="E44" s="1">
        <v>6</v>
      </c>
      <c r="F44" s="1">
        <v>1.1000000000000001</v>
      </c>
      <c r="G44" s="1">
        <v>2.0699999999999998E-3</v>
      </c>
      <c r="H44" s="1">
        <v>6.9599999999999995E-2</v>
      </c>
      <c r="I44" s="1">
        <v>0.15</v>
      </c>
      <c r="J44" s="1">
        <f t="shared" si="0"/>
        <v>2.3166023166023165E-4</v>
      </c>
    </row>
    <row r="45" spans="1:10">
      <c r="A45" s="3">
        <v>65</v>
      </c>
      <c r="B45" s="4">
        <v>0.121</v>
      </c>
      <c r="C45" s="2">
        <v>236</v>
      </c>
      <c r="D45" s="4">
        <v>3716000000000000</v>
      </c>
      <c r="E45" s="1">
        <v>5.4</v>
      </c>
      <c r="F45" s="1">
        <v>0.65</v>
      </c>
      <c r="G45" s="1">
        <v>1.5100000000000001E-3</v>
      </c>
      <c r="H45" s="1">
        <v>9.1899999999999996E-2</v>
      </c>
      <c r="I45" s="1">
        <v>0.15</v>
      </c>
      <c r="J45" s="1">
        <f t="shared" si="0"/>
        <v>2.0849420849420851E-4</v>
      </c>
    </row>
    <row r="46" spans="1:10">
      <c r="A46" s="3">
        <v>70</v>
      </c>
      <c r="B46" s="4">
        <v>5.8000000000000003E-2</v>
      </c>
      <c r="C46" s="2">
        <v>218.9</v>
      </c>
      <c r="D46" s="4">
        <v>1920000000000000</v>
      </c>
      <c r="E46" s="1">
        <v>4.5</v>
      </c>
      <c r="F46" s="1">
        <v>0.3</v>
      </c>
      <c r="G46" s="1">
        <v>1.15E-3</v>
      </c>
      <c r="H46" s="1">
        <v>0.19400000000000001</v>
      </c>
      <c r="I46" s="1">
        <v>0.15</v>
      </c>
      <c r="J46" s="1">
        <f t="shared" si="0"/>
        <v>1.7374517374517374E-4</v>
      </c>
    </row>
    <row r="47" spans="1:10">
      <c r="A47" s="3">
        <v>75</v>
      </c>
      <c r="B47" s="4">
        <v>2.5999999999999999E-2</v>
      </c>
      <c r="C47" s="2">
        <v>201.8</v>
      </c>
      <c r="D47" s="4">
        <v>933800000000000</v>
      </c>
      <c r="E47" s="1">
        <v>3.3</v>
      </c>
      <c r="F47" s="1">
        <v>0.18</v>
      </c>
      <c r="G47" s="1">
        <v>8.8900000000000003E-4</v>
      </c>
      <c r="H47" s="1">
        <v>0.56899999999999995</v>
      </c>
      <c r="I47" s="1">
        <v>0.15</v>
      </c>
      <c r="J47" s="1">
        <f t="shared" si="0"/>
        <v>1.2741312741312741E-4</v>
      </c>
    </row>
    <row r="48" spans="1:10">
      <c r="A48" s="3">
        <v>80</v>
      </c>
      <c r="B48" s="4">
        <v>1.0999999999999999E-2</v>
      </c>
      <c r="C48" s="2">
        <v>184.8</v>
      </c>
      <c r="D48" s="4">
        <v>431400000000000</v>
      </c>
      <c r="E48" s="1">
        <v>2.1</v>
      </c>
      <c r="F48" s="1">
        <v>0.33</v>
      </c>
      <c r="G48" s="1">
        <v>7.0600000000000003E-4</v>
      </c>
      <c r="H48" s="1">
        <v>1.55</v>
      </c>
      <c r="I48" s="1">
        <v>0.15</v>
      </c>
      <c r="J48" s="1">
        <f t="shared" si="0"/>
        <v>8.108108108108109E-5</v>
      </c>
    </row>
    <row r="49" spans="1:10">
      <c r="A49" s="3">
        <v>85</v>
      </c>
      <c r="B49" s="4">
        <v>4.4000000000000003E-3</v>
      </c>
      <c r="C49" s="2">
        <v>177.1</v>
      </c>
      <c r="D49" s="4">
        <v>180100000000000</v>
      </c>
      <c r="E49" s="1">
        <v>1.3</v>
      </c>
      <c r="F49" s="1">
        <v>0.5</v>
      </c>
      <c r="G49" s="1">
        <v>5.7200000000000003E-4</v>
      </c>
      <c r="H49" s="1">
        <v>3.85</v>
      </c>
      <c r="I49" s="1">
        <v>0.15</v>
      </c>
      <c r="J49" s="1">
        <f t="shared" si="0"/>
        <v>5.0193050193050195E-5</v>
      </c>
    </row>
    <row r="50" spans="1:10">
      <c r="A50" s="3">
        <v>90</v>
      </c>
      <c r="B50" s="4">
        <v>1.72E-3</v>
      </c>
      <c r="C50" s="2">
        <v>177</v>
      </c>
      <c r="D50" s="4">
        <v>70430000000000</v>
      </c>
      <c r="E50" s="1">
        <v>0.85</v>
      </c>
      <c r="F50" s="1">
        <v>0.52</v>
      </c>
      <c r="G50" s="1">
        <v>4.7100000000000001E-4</v>
      </c>
      <c r="H50" s="1">
        <v>6.59</v>
      </c>
      <c r="I50" s="1">
        <v>0.14000000000000001</v>
      </c>
      <c r="J50" s="1">
        <f t="shared" si="0"/>
        <v>3.2818532818532815E-5</v>
      </c>
    </row>
    <row r="51" spans="1:10">
      <c r="A51" s="3">
        <v>95</v>
      </c>
      <c r="B51" s="4">
        <v>6.8800000000000003E-4</v>
      </c>
      <c r="C51" s="2">
        <v>184.3</v>
      </c>
      <c r="D51" s="4">
        <v>27060000000000</v>
      </c>
      <c r="E51" s="1">
        <v>0.54</v>
      </c>
      <c r="F51" s="1">
        <v>0.5</v>
      </c>
      <c r="G51" s="1">
        <v>3.9300000000000001E-4</v>
      </c>
      <c r="H51" s="1">
        <v>10.4</v>
      </c>
      <c r="I51" s="1">
        <v>0.13</v>
      </c>
      <c r="J51" s="1">
        <f t="shared" si="0"/>
        <v>2.084942084942085E-5</v>
      </c>
    </row>
    <row r="52" spans="1:10">
      <c r="A52" s="3">
        <v>100</v>
      </c>
      <c r="B52" s="4">
        <v>2.8899999999999998E-4</v>
      </c>
      <c r="C52" s="2">
        <v>190.7</v>
      </c>
      <c r="D52" s="4">
        <v>10980000000000</v>
      </c>
      <c r="E52" s="1">
        <v>0.4</v>
      </c>
      <c r="F52" s="1">
        <v>0.4</v>
      </c>
      <c r="G52" s="1">
        <v>3.3199999999999999E-4</v>
      </c>
      <c r="H52" s="1">
        <v>17.100000000000001</v>
      </c>
      <c r="I52" s="1">
        <v>0.12</v>
      </c>
      <c r="J52" s="1">
        <f t="shared" si="0"/>
        <v>1.5444015444015444E-5</v>
      </c>
    </row>
    <row r="53" spans="1:10">
      <c r="A53" s="3">
        <v>105</v>
      </c>
      <c r="B53" s="4">
        <v>1.2999999999999999E-4</v>
      </c>
      <c r="C53" s="2">
        <v>212</v>
      </c>
      <c r="D53" s="4">
        <v>4445000000000</v>
      </c>
      <c r="E53" s="1">
        <v>0.34</v>
      </c>
      <c r="F53" s="1">
        <v>0.2</v>
      </c>
      <c r="G53" s="1">
        <v>2.8400000000000002E-4</v>
      </c>
      <c r="H53" s="1">
        <v>24.7</v>
      </c>
      <c r="I53" s="1">
        <v>0.11</v>
      </c>
      <c r="J53" s="1">
        <f t="shared" si="0"/>
        <v>1.3127413127413128E-5</v>
      </c>
    </row>
    <row r="54" spans="1:10">
      <c r="A54" s="3">
        <v>110</v>
      </c>
      <c r="B54" s="4">
        <v>6.4700000000000001E-5</v>
      </c>
      <c r="C54" s="2">
        <v>241.6</v>
      </c>
      <c r="D54" s="4">
        <v>1941000000000</v>
      </c>
      <c r="E54" s="1">
        <v>0.28000000000000003</v>
      </c>
      <c r="F54" s="1">
        <v>0.05</v>
      </c>
      <c r="G54" s="1">
        <v>2.4399999999999999E-4</v>
      </c>
      <c r="H54" s="1">
        <v>33.6</v>
      </c>
      <c r="I54" s="1">
        <v>9.5000000000000001E-2</v>
      </c>
      <c r="J54" s="1">
        <f t="shared" si="0"/>
        <v>1.0810810810810812E-5</v>
      </c>
    </row>
    <row r="55" spans="1:10">
      <c r="A55" s="3">
        <v>115</v>
      </c>
      <c r="B55" s="4">
        <v>3.6000000000000001E-5</v>
      </c>
      <c r="C55" s="2">
        <v>299.7</v>
      </c>
      <c r="D55" s="4">
        <v>870600000000</v>
      </c>
      <c r="E55" s="1">
        <v>0.24</v>
      </c>
      <c r="F55" s="1">
        <v>5.0000000000000001E-3</v>
      </c>
      <c r="G55" s="1">
        <v>2.12E-4</v>
      </c>
      <c r="H55" s="1">
        <v>41.5</v>
      </c>
      <c r="I55" s="1">
        <v>0.06</v>
      </c>
      <c r="J55" s="1">
        <f t="shared" si="0"/>
        <v>9.2664092664092663E-6</v>
      </c>
    </row>
    <row r="56" spans="1:10">
      <c r="A56" s="3">
        <v>120</v>
      </c>
      <c r="B56" s="4">
        <v>2.2500000000000001E-5</v>
      </c>
      <c r="C56" s="2">
        <v>380</v>
      </c>
      <c r="D56" s="4">
        <v>422500000000</v>
      </c>
      <c r="E56" s="1">
        <v>0.2</v>
      </c>
      <c r="F56" s="1">
        <v>5.0000000000000001E-4</v>
      </c>
      <c r="G56" s="1">
        <v>1.85E-4</v>
      </c>
      <c r="H56" s="1">
        <v>50</v>
      </c>
      <c r="I56" s="1">
        <v>0.03</v>
      </c>
      <c r="J56" s="1">
        <f t="shared" si="0"/>
        <v>7.7220077220077222E-6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workbookViewId="0">
      <selection activeCell="J11" sqref="J11"/>
    </sheetView>
  </sheetViews>
  <sheetFormatPr defaultRowHeight="14.4"/>
  <cols>
    <col min="1" max="1" width="9" style="3"/>
    <col min="2" max="2" width="11.6640625" style="4" bestFit="1" customWidth="1"/>
    <col min="3" max="3" width="9.88671875" style="2" customWidth="1"/>
    <col min="4" max="4" width="11.6640625" style="4" bestFit="1" customWidth="1"/>
    <col min="5" max="5" width="9.44140625" bestFit="1" customWidth="1"/>
    <col min="6" max="6" width="10.44140625" bestFit="1" customWidth="1"/>
    <col min="7" max="9" width="9.44140625" bestFit="1" customWidth="1"/>
    <col min="13" max="13" width="9.44140625" bestFit="1" customWidth="1"/>
  </cols>
  <sheetData>
    <row r="1" spans="1:10">
      <c r="A1" s="3" t="s">
        <v>16</v>
      </c>
      <c r="I1" s="1"/>
    </row>
    <row r="2" spans="1:10">
      <c r="A2" s="3" t="s">
        <v>17</v>
      </c>
      <c r="I2" s="1"/>
    </row>
    <row r="3" spans="1:10">
      <c r="I3" s="1"/>
    </row>
    <row r="4" spans="1:10">
      <c r="A4" s="3" t="s">
        <v>2</v>
      </c>
      <c r="B4" s="4" t="s">
        <v>3</v>
      </c>
      <c r="C4" s="2" t="s">
        <v>4</v>
      </c>
      <c r="D4" s="4" t="s">
        <v>5</v>
      </c>
      <c r="E4" t="s">
        <v>8</v>
      </c>
      <c r="F4" t="s">
        <v>9</v>
      </c>
      <c r="G4" t="s">
        <v>6</v>
      </c>
      <c r="H4" t="s">
        <v>10</v>
      </c>
      <c r="I4" s="1" t="s">
        <v>7</v>
      </c>
    </row>
    <row r="5" spans="1:10">
      <c r="A5" s="3" t="s">
        <v>11</v>
      </c>
      <c r="B5" s="4" t="s">
        <v>15</v>
      </c>
      <c r="C5" s="2" t="s">
        <v>12</v>
      </c>
      <c r="D5" s="4" t="s">
        <v>13</v>
      </c>
      <c r="E5" t="s">
        <v>20</v>
      </c>
      <c r="F5" t="s">
        <v>14</v>
      </c>
      <c r="G5" t="s">
        <v>14</v>
      </c>
      <c r="H5" t="s">
        <v>14</v>
      </c>
      <c r="I5" s="1" t="s">
        <v>14</v>
      </c>
    </row>
    <row r="7" spans="1:10">
      <c r="A7" s="3">
        <v>0</v>
      </c>
      <c r="B7" s="4">
        <v>1013</v>
      </c>
      <c r="C7" s="2">
        <v>294.2</v>
      </c>
      <c r="D7" s="4">
        <v>2.496E+19</v>
      </c>
      <c r="E7" s="1">
        <v>18600</v>
      </c>
      <c r="F7" s="1">
        <v>3.0200000000000001E-2</v>
      </c>
      <c r="G7" s="1">
        <v>0.32</v>
      </c>
      <c r="H7" s="1">
        <v>0.15</v>
      </c>
      <c r="I7" s="1">
        <v>1.7</v>
      </c>
      <c r="J7" s="1">
        <f>E7/$E$7</f>
        <v>1</v>
      </c>
    </row>
    <row r="8" spans="1:10">
      <c r="A8" s="3">
        <v>1</v>
      </c>
      <c r="B8" s="4">
        <v>902</v>
      </c>
      <c r="C8" s="2">
        <v>289.7</v>
      </c>
      <c r="D8" s="4">
        <v>2.257E+19</v>
      </c>
      <c r="E8" s="1">
        <v>13800</v>
      </c>
      <c r="F8" s="1">
        <v>3.3399999999999999E-2</v>
      </c>
      <c r="G8" s="1">
        <v>0.32</v>
      </c>
      <c r="H8" s="1">
        <v>0.14499999999999999</v>
      </c>
      <c r="I8" s="1">
        <v>1.7</v>
      </c>
      <c r="J8" s="1">
        <f t="shared" ref="J8:J56" si="0">E8/$E$7</f>
        <v>0.74193548387096775</v>
      </c>
    </row>
    <row r="9" spans="1:10">
      <c r="A9" s="3">
        <v>2</v>
      </c>
      <c r="B9" s="4">
        <v>802</v>
      </c>
      <c r="C9" s="2">
        <v>285.2</v>
      </c>
      <c r="D9" s="4">
        <v>2.038E+19</v>
      </c>
      <c r="E9" s="1">
        <v>9680</v>
      </c>
      <c r="F9" s="1">
        <v>3.6900000000000002E-2</v>
      </c>
      <c r="G9" s="1">
        <v>0.32</v>
      </c>
      <c r="H9" s="1">
        <v>0.14000000000000001</v>
      </c>
      <c r="I9" s="1">
        <v>1.7</v>
      </c>
      <c r="J9" s="1">
        <f t="shared" si="0"/>
        <v>0.52043010752688168</v>
      </c>
    </row>
    <row r="10" spans="1:10">
      <c r="A10" s="3">
        <v>3</v>
      </c>
      <c r="B10" s="4">
        <v>710</v>
      </c>
      <c r="C10" s="2">
        <v>279.2</v>
      </c>
      <c r="D10" s="4">
        <v>1.843E+19</v>
      </c>
      <c r="E10" s="1">
        <v>5980</v>
      </c>
      <c r="F10" s="1">
        <v>4.2200000000000001E-2</v>
      </c>
      <c r="G10" s="1">
        <v>0.32</v>
      </c>
      <c r="H10" s="1">
        <v>0.13500000000000001</v>
      </c>
      <c r="I10" s="1">
        <v>1.7</v>
      </c>
      <c r="J10" s="1">
        <f t="shared" si="0"/>
        <v>0.32150537634408605</v>
      </c>
    </row>
    <row r="11" spans="1:10">
      <c r="A11" s="3">
        <v>4</v>
      </c>
      <c r="B11" s="4">
        <v>628</v>
      </c>
      <c r="C11" s="2">
        <v>273.2</v>
      </c>
      <c r="D11" s="4">
        <v>1.666E+19</v>
      </c>
      <c r="E11" s="1">
        <v>3810</v>
      </c>
      <c r="F11" s="1">
        <v>4.82E-2</v>
      </c>
      <c r="G11" s="1">
        <v>0.32</v>
      </c>
      <c r="H11" s="1">
        <v>0.13100000000000001</v>
      </c>
      <c r="I11" s="1">
        <v>1.7</v>
      </c>
      <c r="J11" s="1">
        <f t="shared" si="0"/>
        <v>0.20483870967741935</v>
      </c>
    </row>
    <row r="12" spans="1:10">
      <c r="A12" s="3">
        <v>5</v>
      </c>
      <c r="B12" s="4">
        <v>554</v>
      </c>
      <c r="C12" s="2">
        <v>267.2</v>
      </c>
      <c r="D12" s="4">
        <v>1.503E+19</v>
      </c>
      <c r="E12" s="1">
        <v>2230</v>
      </c>
      <c r="F12" s="1">
        <v>5.5100000000000003E-2</v>
      </c>
      <c r="G12" s="1">
        <v>0.32</v>
      </c>
      <c r="H12" s="1">
        <v>0.13</v>
      </c>
      <c r="I12" s="1">
        <v>1.69</v>
      </c>
      <c r="J12" s="1">
        <f t="shared" si="0"/>
        <v>0.11989247311827957</v>
      </c>
    </row>
    <row r="13" spans="1:10">
      <c r="A13" s="3">
        <v>6</v>
      </c>
      <c r="B13" s="4">
        <v>487</v>
      </c>
      <c r="C13" s="2">
        <v>261.2</v>
      </c>
      <c r="D13" s="4">
        <v>1.351E+19</v>
      </c>
      <c r="E13" s="1">
        <v>1510</v>
      </c>
      <c r="F13" s="1">
        <v>6.4100000000000004E-2</v>
      </c>
      <c r="G13" s="1">
        <v>0.32</v>
      </c>
      <c r="H13" s="1">
        <v>0.129</v>
      </c>
      <c r="I13" s="1">
        <v>1.67</v>
      </c>
      <c r="J13" s="1">
        <f t="shared" si="0"/>
        <v>8.1182795698924726E-2</v>
      </c>
    </row>
    <row r="14" spans="1:10">
      <c r="A14" s="3">
        <v>7</v>
      </c>
      <c r="B14" s="4">
        <v>426</v>
      </c>
      <c r="C14" s="2">
        <v>254.7</v>
      </c>
      <c r="D14" s="4">
        <v>1.212E+19</v>
      </c>
      <c r="E14" s="1">
        <v>1020</v>
      </c>
      <c r="F14" s="1">
        <v>7.7600000000000002E-2</v>
      </c>
      <c r="G14" s="1">
        <v>0.32</v>
      </c>
      <c r="H14" s="1">
        <v>0.125</v>
      </c>
      <c r="I14" s="1">
        <v>1.65</v>
      </c>
      <c r="J14" s="1">
        <f t="shared" si="0"/>
        <v>5.4838709677419356E-2</v>
      </c>
    </row>
    <row r="15" spans="1:10">
      <c r="A15" s="3">
        <v>8</v>
      </c>
      <c r="B15" s="4">
        <v>372</v>
      </c>
      <c r="C15" s="2">
        <v>248.2</v>
      </c>
      <c r="D15" s="4">
        <v>1.086E+19</v>
      </c>
      <c r="E15" s="1">
        <v>646</v>
      </c>
      <c r="F15" s="1">
        <v>9.1300000000000006E-2</v>
      </c>
      <c r="G15" s="1">
        <v>0.32</v>
      </c>
      <c r="H15" s="1">
        <v>0.11899999999999999</v>
      </c>
      <c r="I15" s="1">
        <v>1.63</v>
      </c>
      <c r="J15" s="1">
        <f t="shared" si="0"/>
        <v>3.4731182795698923E-2</v>
      </c>
    </row>
    <row r="16" spans="1:10">
      <c r="A16" s="3">
        <v>9</v>
      </c>
      <c r="B16" s="4">
        <v>324</v>
      </c>
      <c r="C16" s="2">
        <v>241.7</v>
      </c>
      <c r="D16" s="4">
        <v>9.716E+18</v>
      </c>
      <c r="E16" s="1">
        <v>413</v>
      </c>
      <c r="F16" s="1">
        <v>0.111</v>
      </c>
      <c r="G16" s="1">
        <v>0.316</v>
      </c>
      <c r="H16" s="1">
        <v>0.109</v>
      </c>
      <c r="I16" s="1">
        <v>1.62</v>
      </c>
      <c r="J16" s="1">
        <f t="shared" si="0"/>
        <v>2.2204301075268818E-2</v>
      </c>
    </row>
    <row r="17" spans="1:13">
      <c r="A17" s="3">
        <v>10</v>
      </c>
      <c r="B17" s="4">
        <v>281</v>
      </c>
      <c r="C17" s="2">
        <v>235.3</v>
      </c>
      <c r="D17" s="4">
        <v>8.656E+18</v>
      </c>
      <c r="E17" s="1">
        <v>247</v>
      </c>
      <c r="F17" s="1">
        <v>0.13</v>
      </c>
      <c r="G17" s="1">
        <v>0.31</v>
      </c>
      <c r="H17" s="1">
        <v>9.9599999999999994E-2</v>
      </c>
      <c r="I17" s="1">
        <v>1.58</v>
      </c>
      <c r="J17" s="1">
        <f t="shared" si="0"/>
        <v>1.3279569892473118E-2</v>
      </c>
    </row>
    <row r="18" spans="1:13">
      <c r="A18" s="3">
        <v>11</v>
      </c>
      <c r="B18" s="4">
        <v>243</v>
      </c>
      <c r="C18" s="2">
        <v>228.8</v>
      </c>
      <c r="D18" s="4">
        <v>7.698E+18</v>
      </c>
      <c r="E18" s="1">
        <v>95.6</v>
      </c>
      <c r="F18" s="1">
        <v>0.17899999999999999</v>
      </c>
      <c r="G18" s="1">
        <v>0.29899999999999999</v>
      </c>
      <c r="H18" s="1">
        <v>8.9599999999999999E-2</v>
      </c>
      <c r="I18" s="1">
        <v>1.54</v>
      </c>
      <c r="J18" s="1">
        <f t="shared" si="0"/>
        <v>5.1397849462365593E-3</v>
      </c>
    </row>
    <row r="19" spans="1:13">
      <c r="A19" s="3">
        <v>12</v>
      </c>
      <c r="B19" s="4">
        <v>209</v>
      </c>
      <c r="C19" s="2">
        <v>222.3</v>
      </c>
      <c r="D19" s="4">
        <v>6.814E+18</v>
      </c>
      <c r="E19" s="1">
        <v>29.4</v>
      </c>
      <c r="F19" s="1">
        <v>0.223</v>
      </c>
      <c r="G19" s="1">
        <v>0.29399999999999998</v>
      </c>
      <c r="H19" s="1">
        <v>7.8100000000000003E-2</v>
      </c>
      <c r="I19" s="1">
        <v>1.51</v>
      </c>
      <c r="J19" s="1">
        <f t="shared" si="0"/>
        <v>1.5806451612903226E-3</v>
      </c>
      <c r="M19" s="1"/>
    </row>
    <row r="20" spans="1:13">
      <c r="A20" s="3">
        <v>13</v>
      </c>
      <c r="B20" s="4">
        <v>179</v>
      </c>
      <c r="C20" s="2">
        <v>215.8</v>
      </c>
      <c r="D20" s="4">
        <v>6.012E+18</v>
      </c>
      <c r="E20" s="1">
        <v>8</v>
      </c>
      <c r="F20" s="1">
        <v>0.3</v>
      </c>
      <c r="G20" s="1">
        <v>0.28599999999999998</v>
      </c>
      <c r="H20" s="1">
        <v>6.3700000000000007E-2</v>
      </c>
      <c r="I20" s="1">
        <v>1.48</v>
      </c>
      <c r="J20" s="1">
        <f t="shared" si="0"/>
        <v>4.3010752688172043E-4</v>
      </c>
    </row>
    <row r="21" spans="1:13">
      <c r="A21" s="3">
        <v>14</v>
      </c>
      <c r="B21" s="4">
        <v>153</v>
      </c>
      <c r="C21" s="2">
        <v>215.7</v>
      </c>
      <c r="D21" s="4">
        <v>5.141E+18</v>
      </c>
      <c r="E21" s="1">
        <v>5</v>
      </c>
      <c r="F21" s="1">
        <v>0.44</v>
      </c>
      <c r="G21" s="1">
        <v>0.28000000000000003</v>
      </c>
      <c r="H21" s="1">
        <v>5.0299999999999997E-2</v>
      </c>
      <c r="I21" s="1">
        <v>1.45</v>
      </c>
      <c r="J21" s="1">
        <f t="shared" si="0"/>
        <v>2.6881720430107527E-4</v>
      </c>
    </row>
    <row r="22" spans="1:13">
      <c r="A22" s="3">
        <v>15</v>
      </c>
      <c r="B22" s="4">
        <v>130</v>
      </c>
      <c r="C22" s="2">
        <v>215.7</v>
      </c>
      <c r="D22" s="4">
        <v>4.368E+18</v>
      </c>
      <c r="E22" s="1">
        <v>3.4</v>
      </c>
      <c r="F22" s="1">
        <v>0.5</v>
      </c>
      <c r="G22" s="1">
        <v>0.27200000000000002</v>
      </c>
      <c r="H22" s="1">
        <v>3.9399999999999998E-2</v>
      </c>
      <c r="I22" s="1">
        <v>1.42</v>
      </c>
      <c r="J22" s="1">
        <f t="shared" si="0"/>
        <v>1.8279569892473119E-4</v>
      </c>
    </row>
    <row r="23" spans="1:13">
      <c r="A23" s="3">
        <v>16</v>
      </c>
      <c r="B23" s="4">
        <v>111</v>
      </c>
      <c r="C23" s="2">
        <v>215.7</v>
      </c>
      <c r="D23" s="4">
        <v>3.73E+18</v>
      </c>
      <c r="E23" s="1">
        <v>3.3</v>
      </c>
      <c r="F23" s="1">
        <v>0.6</v>
      </c>
      <c r="G23" s="1">
        <v>0.26100000000000001</v>
      </c>
      <c r="H23" s="1">
        <v>3.0700000000000002E-2</v>
      </c>
      <c r="I23" s="1">
        <v>1.39</v>
      </c>
      <c r="J23" s="1">
        <f t="shared" si="0"/>
        <v>1.7741935483870966E-4</v>
      </c>
    </row>
    <row r="24" spans="1:13">
      <c r="A24" s="3">
        <v>17</v>
      </c>
      <c r="B24" s="4">
        <v>95</v>
      </c>
      <c r="C24" s="2">
        <v>215.7</v>
      </c>
      <c r="D24" s="4">
        <v>3.192E+18</v>
      </c>
      <c r="E24" s="1">
        <v>3.2</v>
      </c>
      <c r="F24" s="1">
        <v>0.7</v>
      </c>
      <c r="G24" s="1">
        <v>0.24199999999999999</v>
      </c>
      <c r="H24" s="1">
        <v>2.4899999999999999E-2</v>
      </c>
      <c r="I24" s="1">
        <v>1.36</v>
      </c>
      <c r="J24" s="1">
        <f t="shared" si="0"/>
        <v>1.7204301075268819E-4</v>
      </c>
    </row>
    <row r="25" spans="1:13">
      <c r="A25" s="3">
        <v>18</v>
      </c>
      <c r="B25" s="4">
        <v>81.2</v>
      </c>
      <c r="C25" s="2">
        <v>216.8</v>
      </c>
      <c r="D25" s="4">
        <v>2.715E+18</v>
      </c>
      <c r="E25" s="1">
        <v>3.15</v>
      </c>
      <c r="F25" s="1">
        <v>1</v>
      </c>
      <c r="G25" s="1">
        <v>0.217</v>
      </c>
      <c r="H25" s="1">
        <v>1.9699999999999999E-2</v>
      </c>
      <c r="I25" s="1">
        <v>1.32</v>
      </c>
      <c r="J25" s="1">
        <f t="shared" si="0"/>
        <v>1.6935483870967742E-4</v>
      </c>
    </row>
    <row r="26" spans="1:13">
      <c r="A26" s="3">
        <v>19</v>
      </c>
      <c r="B26" s="4">
        <v>69.5</v>
      </c>
      <c r="C26" s="2">
        <v>217.9</v>
      </c>
      <c r="D26" s="4">
        <v>2.312E+18</v>
      </c>
      <c r="E26" s="1">
        <v>3.2</v>
      </c>
      <c r="F26" s="1">
        <v>1.5</v>
      </c>
      <c r="G26" s="1">
        <v>0.184</v>
      </c>
      <c r="H26" s="1">
        <v>1.6549999999999999E-2</v>
      </c>
      <c r="I26" s="1">
        <v>1.28</v>
      </c>
      <c r="J26" s="1">
        <f t="shared" si="0"/>
        <v>1.7204301075268819E-4</v>
      </c>
    </row>
    <row r="27" spans="1:13">
      <c r="A27" s="3">
        <v>20</v>
      </c>
      <c r="B27" s="4">
        <v>59.5</v>
      </c>
      <c r="C27" s="2">
        <v>219.2</v>
      </c>
      <c r="D27" s="4">
        <v>1.967E+18</v>
      </c>
      <c r="E27" s="1">
        <v>3.3</v>
      </c>
      <c r="F27" s="1">
        <v>2</v>
      </c>
      <c r="G27" s="1">
        <v>0.161</v>
      </c>
      <c r="H27" s="1">
        <v>1.3299999999999999E-2</v>
      </c>
      <c r="I27" s="1">
        <v>1.22</v>
      </c>
      <c r="J27" s="1">
        <f t="shared" si="0"/>
        <v>1.7741935483870966E-4</v>
      </c>
    </row>
    <row r="28" spans="1:13">
      <c r="A28" s="3">
        <v>21</v>
      </c>
      <c r="B28" s="4">
        <v>51</v>
      </c>
      <c r="C28" s="2">
        <v>220.4</v>
      </c>
      <c r="D28" s="4">
        <v>1.677E+18</v>
      </c>
      <c r="E28" s="1">
        <v>3.45</v>
      </c>
      <c r="F28" s="1">
        <v>2.4</v>
      </c>
      <c r="G28" s="1">
        <v>0.13200000000000001</v>
      </c>
      <c r="H28" s="1">
        <v>1.23E-2</v>
      </c>
      <c r="I28" s="1">
        <v>1.1499999999999999</v>
      </c>
      <c r="J28" s="1">
        <f t="shared" si="0"/>
        <v>1.8548387096774195E-4</v>
      </c>
    </row>
    <row r="29" spans="1:13">
      <c r="A29" s="3">
        <v>22</v>
      </c>
      <c r="B29" s="4">
        <v>43.7</v>
      </c>
      <c r="C29" s="2">
        <v>221.6</v>
      </c>
      <c r="D29" s="4">
        <v>1.429E+18</v>
      </c>
      <c r="E29" s="1">
        <v>3.6</v>
      </c>
      <c r="F29" s="1">
        <v>2.9</v>
      </c>
      <c r="G29" s="1">
        <v>0.115</v>
      </c>
      <c r="H29" s="1">
        <v>1.23E-2</v>
      </c>
      <c r="I29" s="1">
        <v>1.07</v>
      </c>
      <c r="J29" s="1">
        <f t="shared" si="0"/>
        <v>1.9354838709677419E-4</v>
      </c>
    </row>
    <row r="30" spans="1:13">
      <c r="A30" s="3">
        <v>23</v>
      </c>
      <c r="B30" s="4">
        <v>37.6</v>
      </c>
      <c r="C30" s="2">
        <v>222.8</v>
      </c>
      <c r="D30" s="4">
        <v>1.223E+18</v>
      </c>
      <c r="E30" s="1">
        <v>3.85</v>
      </c>
      <c r="F30" s="1">
        <v>3.4</v>
      </c>
      <c r="G30" s="1">
        <v>0.104</v>
      </c>
      <c r="H30" s="1">
        <v>1.3100000000000001E-2</v>
      </c>
      <c r="I30" s="1">
        <v>0.97299999999999998</v>
      </c>
      <c r="J30" s="1">
        <f t="shared" si="0"/>
        <v>2.0698924731182795E-4</v>
      </c>
    </row>
    <row r="31" spans="1:13">
      <c r="A31" s="3">
        <v>24</v>
      </c>
      <c r="B31" s="4">
        <v>32.200000000000003</v>
      </c>
      <c r="C31" s="2">
        <v>223.9</v>
      </c>
      <c r="D31" s="4">
        <v>1.042E+18</v>
      </c>
      <c r="E31" s="1">
        <v>4</v>
      </c>
      <c r="F31" s="1">
        <v>4</v>
      </c>
      <c r="G31" s="1">
        <v>9.6199999999999994E-2</v>
      </c>
      <c r="H31" s="1">
        <v>1.4E-2</v>
      </c>
      <c r="I31" s="1">
        <v>0.88</v>
      </c>
      <c r="J31" s="1">
        <f t="shared" si="0"/>
        <v>2.1505376344086021E-4</v>
      </c>
    </row>
    <row r="32" spans="1:13">
      <c r="A32" s="3">
        <v>25</v>
      </c>
      <c r="B32" s="4">
        <v>27.7</v>
      </c>
      <c r="C32" s="2">
        <v>225.1</v>
      </c>
      <c r="D32" s="4">
        <v>8.919E+17</v>
      </c>
      <c r="E32" s="1">
        <v>4.2</v>
      </c>
      <c r="F32" s="1">
        <v>4.8</v>
      </c>
      <c r="G32" s="1">
        <v>8.9599999999999999E-2</v>
      </c>
      <c r="H32" s="1">
        <v>1.52E-2</v>
      </c>
      <c r="I32" s="1">
        <v>0.78900000000000003</v>
      </c>
      <c r="J32" s="1">
        <f t="shared" si="0"/>
        <v>2.2580645161290324E-4</v>
      </c>
    </row>
    <row r="33" spans="1:12">
      <c r="A33" s="3">
        <v>27.5</v>
      </c>
      <c r="B33" s="4">
        <v>19.07</v>
      </c>
      <c r="C33" s="2">
        <v>228.5</v>
      </c>
      <c r="D33" s="4">
        <v>6.05E+17</v>
      </c>
      <c r="E33" s="1">
        <v>4.45</v>
      </c>
      <c r="F33" s="1">
        <v>6</v>
      </c>
      <c r="G33" s="1">
        <v>8.0100000000000005E-2</v>
      </c>
      <c r="H33" s="1">
        <v>1.72E-2</v>
      </c>
      <c r="I33" s="1">
        <v>0.70499999999999996</v>
      </c>
      <c r="J33" s="1">
        <f t="shared" si="0"/>
        <v>2.3924731182795701E-4</v>
      </c>
    </row>
    <row r="34" spans="1:12">
      <c r="A34" s="3">
        <v>30</v>
      </c>
      <c r="B34" s="4">
        <v>13.2</v>
      </c>
      <c r="C34" s="2">
        <v>233.7</v>
      </c>
      <c r="D34" s="4">
        <v>4.094E+17</v>
      </c>
      <c r="E34" s="1">
        <v>4.7</v>
      </c>
      <c r="F34" s="1">
        <v>7</v>
      </c>
      <c r="G34" s="1">
        <v>6.7000000000000004E-2</v>
      </c>
      <c r="H34" s="1">
        <v>0.02</v>
      </c>
      <c r="I34" s="1">
        <v>0.63200000000000001</v>
      </c>
      <c r="J34" s="1">
        <f t="shared" si="0"/>
        <v>2.5268817204301074E-4</v>
      </c>
    </row>
    <row r="35" spans="1:12">
      <c r="A35" s="3">
        <v>32.5</v>
      </c>
      <c r="B35" s="4">
        <v>9.3000000000000007</v>
      </c>
      <c r="C35" s="2">
        <v>239</v>
      </c>
      <c r="D35" s="4">
        <v>2.82E+17</v>
      </c>
      <c r="E35" s="1">
        <v>4.8650000000000002</v>
      </c>
      <c r="F35" s="1">
        <v>8.1</v>
      </c>
      <c r="G35" s="1">
        <v>4.9599999999999998E-2</v>
      </c>
      <c r="H35" s="1">
        <v>2.2700000000000001E-2</v>
      </c>
      <c r="I35" s="1">
        <v>0.55900000000000005</v>
      </c>
      <c r="J35" s="1">
        <f t="shared" si="0"/>
        <v>2.6155913978494623E-4</v>
      </c>
    </row>
    <row r="36" spans="1:12">
      <c r="A36" s="3">
        <v>35</v>
      </c>
      <c r="B36" s="4">
        <v>6.52</v>
      </c>
      <c r="C36" s="2">
        <v>245.2</v>
      </c>
      <c r="D36" s="4">
        <v>1.927E+17</v>
      </c>
      <c r="E36" s="1">
        <v>4.95</v>
      </c>
      <c r="F36" s="1">
        <v>8.9</v>
      </c>
      <c r="G36" s="1">
        <v>3.6999999999999998E-2</v>
      </c>
      <c r="H36" s="1">
        <v>2.4899999999999999E-2</v>
      </c>
      <c r="I36" s="1">
        <v>0.501</v>
      </c>
      <c r="J36" s="1">
        <f t="shared" si="0"/>
        <v>2.6612903225806453E-4</v>
      </c>
    </row>
    <row r="37" spans="1:12">
      <c r="A37" s="3">
        <v>37.5</v>
      </c>
      <c r="B37" s="4">
        <v>4.6399999999999997</v>
      </c>
      <c r="C37" s="2">
        <v>251.3</v>
      </c>
      <c r="D37" s="4">
        <v>1.338E+17</v>
      </c>
      <c r="E37" s="1">
        <v>5</v>
      </c>
      <c r="F37" s="1">
        <v>8.6999999999999993</v>
      </c>
      <c r="G37" s="1">
        <v>2.52E-2</v>
      </c>
      <c r="H37" s="1">
        <v>2.7199999999999998E-2</v>
      </c>
      <c r="I37" s="1">
        <v>0.44500000000000001</v>
      </c>
      <c r="J37" s="1">
        <f t="shared" si="0"/>
        <v>2.6881720430107527E-4</v>
      </c>
    </row>
    <row r="38" spans="1:12">
      <c r="A38" s="3">
        <v>40</v>
      </c>
      <c r="B38" s="4">
        <v>3.33</v>
      </c>
      <c r="C38" s="2">
        <v>257.5</v>
      </c>
      <c r="D38" s="4">
        <v>9.373E+16</v>
      </c>
      <c r="E38" s="1">
        <v>5.0999999999999996</v>
      </c>
      <c r="F38" s="1">
        <v>7.55</v>
      </c>
      <c r="G38" s="1">
        <v>1.7399999999999999E-2</v>
      </c>
      <c r="H38" s="1">
        <v>2.9600000000000001E-2</v>
      </c>
      <c r="I38" s="1">
        <v>0.39200000000000002</v>
      </c>
      <c r="J38" s="1">
        <f t="shared" si="0"/>
        <v>2.7419354838709674E-4</v>
      </c>
    </row>
    <row r="39" spans="1:12">
      <c r="A39" s="3">
        <v>42.5</v>
      </c>
      <c r="B39" s="4">
        <v>2.41</v>
      </c>
      <c r="C39" s="2">
        <v>263.7</v>
      </c>
      <c r="D39" s="4">
        <v>6.624E+16</v>
      </c>
      <c r="E39" s="1">
        <v>5.3</v>
      </c>
      <c r="F39" s="1">
        <v>5.9</v>
      </c>
      <c r="G39" s="1">
        <v>1.1599999999999999E-2</v>
      </c>
      <c r="H39" s="1">
        <v>3.1399999999999997E-2</v>
      </c>
      <c r="I39" s="1">
        <v>0.33900000000000002</v>
      </c>
      <c r="J39" s="1">
        <f t="shared" si="0"/>
        <v>2.849462365591398E-4</v>
      </c>
    </row>
    <row r="40" spans="1:12">
      <c r="A40" s="3">
        <v>45</v>
      </c>
      <c r="B40" s="4">
        <v>1.76</v>
      </c>
      <c r="C40" s="2">
        <v>269.89999999999998</v>
      </c>
      <c r="D40" s="4">
        <v>4.726E+16</v>
      </c>
      <c r="E40" s="1">
        <v>5.45</v>
      </c>
      <c r="F40" s="1">
        <v>4.5</v>
      </c>
      <c r="G40" s="1">
        <v>7.6699999999999997E-3</v>
      </c>
      <c r="H40" s="1">
        <v>3.3099999999999997E-2</v>
      </c>
      <c r="I40" s="1">
        <v>0.28699999999999998</v>
      </c>
      <c r="J40" s="1">
        <f t="shared" si="0"/>
        <v>2.9301075268817206E-4</v>
      </c>
    </row>
    <row r="41" spans="1:12">
      <c r="A41" s="3">
        <v>47.5</v>
      </c>
      <c r="B41" s="4">
        <v>1.29</v>
      </c>
      <c r="C41" s="2">
        <v>275.2</v>
      </c>
      <c r="D41" s="4">
        <v>3.398E+16</v>
      </c>
      <c r="E41" s="1">
        <v>5.5</v>
      </c>
      <c r="F41" s="1">
        <v>3.5</v>
      </c>
      <c r="G41" s="1">
        <v>5.3200000000000001E-3</v>
      </c>
      <c r="H41" s="1">
        <v>3.49E-2</v>
      </c>
      <c r="I41" s="1">
        <v>0.23799999999999999</v>
      </c>
      <c r="J41" s="1">
        <f t="shared" si="0"/>
        <v>2.956989247311828E-4</v>
      </c>
    </row>
    <row r="42" spans="1:12">
      <c r="A42" s="3">
        <v>50</v>
      </c>
      <c r="B42" s="4">
        <v>0.95099999999999996</v>
      </c>
      <c r="C42" s="2">
        <v>275.7</v>
      </c>
      <c r="D42" s="4">
        <v>2.5E+16</v>
      </c>
      <c r="E42" s="1">
        <v>5.5</v>
      </c>
      <c r="F42" s="1">
        <v>2.8</v>
      </c>
      <c r="G42" s="1">
        <v>3.2200000000000001E-30</v>
      </c>
      <c r="H42" s="1">
        <v>3.6499999999999998E-2</v>
      </c>
      <c r="I42" s="1">
        <v>0.19400000000000001</v>
      </c>
      <c r="J42" s="1">
        <f t="shared" si="0"/>
        <v>2.956989247311828E-4</v>
      </c>
    </row>
    <row r="43" spans="1:12">
      <c r="A43" s="3">
        <v>55</v>
      </c>
      <c r="B43" s="4">
        <v>0.51500000000000001</v>
      </c>
      <c r="C43" s="2">
        <v>269.3</v>
      </c>
      <c r="D43" s="4">
        <v>1.386E+16</v>
      </c>
      <c r="E43" s="1">
        <v>5.35</v>
      </c>
      <c r="F43" s="1">
        <v>1.8</v>
      </c>
      <c r="G43" s="1">
        <v>2.0300000000000001E-3</v>
      </c>
      <c r="H43" s="1">
        <v>3.9199999999999999E-2</v>
      </c>
      <c r="I43" s="1">
        <v>0.157</v>
      </c>
      <c r="J43" s="1">
        <f t="shared" si="0"/>
        <v>2.8763440860215053E-4</v>
      </c>
    </row>
    <row r="44" spans="1:12">
      <c r="A44" s="3">
        <v>60</v>
      </c>
      <c r="B44" s="4">
        <v>0.27200000000000002</v>
      </c>
      <c r="C44" s="2">
        <v>257.10000000000002</v>
      </c>
      <c r="D44" s="4">
        <v>7668000000000000</v>
      </c>
      <c r="E44" s="1">
        <v>5</v>
      </c>
      <c r="F44" s="1">
        <v>1.3</v>
      </c>
      <c r="G44" s="1">
        <v>1.4E-3</v>
      </c>
      <c r="H44" s="1">
        <v>4.6699999999999998E-2</v>
      </c>
      <c r="I44" s="1">
        <v>0.15</v>
      </c>
      <c r="J44" s="1">
        <f t="shared" si="0"/>
        <v>2.6881720430107527E-4</v>
      </c>
    </row>
    <row r="45" spans="1:12">
      <c r="A45" s="3">
        <v>65</v>
      </c>
      <c r="B45" s="4">
        <v>0.13900000000000001</v>
      </c>
      <c r="C45" s="2">
        <v>240.1</v>
      </c>
      <c r="D45" s="4">
        <v>4196000000000000</v>
      </c>
      <c r="E45" s="1">
        <v>4.4000000000000004</v>
      </c>
      <c r="F45" s="1">
        <v>0.8</v>
      </c>
      <c r="G45" s="1">
        <v>1.0200000000000001E-3</v>
      </c>
      <c r="H45" s="1">
        <v>6.4000000000000001E-2</v>
      </c>
      <c r="I45" s="1">
        <v>0.15</v>
      </c>
      <c r="J45" s="1">
        <f t="shared" si="0"/>
        <v>2.3655913978494627E-4</v>
      </c>
      <c r="K45" s="1"/>
      <c r="L45" s="1"/>
    </row>
    <row r="46" spans="1:12">
      <c r="A46" s="3">
        <v>70</v>
      </c>
      <c r="B46" s="4">
        <v>6.7000000000000004E-2</v>
      </c>
      <c r="C46" s="2">
        <v>218.1</v>
      </c>
      <c r="D46" s="4">
        <v>2227000000000000</v>
      </c>
      <c r="E46" s="1">
        <v>3.7</v>
      </c>
      <c r="F46" s="1">
        <v>0.4</v>
      </c>
      <c r="G46" s="1">
        <v>7.7700000000000002E-4</v>
      </c>
      <c r="H46" s="1">
        <v>0.11799999999999999</v>
      </c>
      <c r="I46" s="1">
        <v>0.15</v>
      </c>
      <c r="J46" s="1">
        <f t="shared" si="0"/>
        <v>1.9892473118279572E-4</v>
      </c>
    </row>
    <row r="47" spans="1:12">
      <c r="A47" s="3">
        <v>75</v>
      </c>
      <c r="B47" s="4">
        <v>0.03</v>
      </c>
      <c r="C47" s="2">
        <v>196.1</v>
      </c>
      <c r="D47" s="4">
        <v>1109000000000000</v>
      </c>
      <c r="E47" s="1">
        <v>2.95</v>
      </c>
      <c r="F47" s="1">
        <v>0.19</v>
      </c>
      <c r="G47" s="1">
        <v>6.2600000000000004E-4</v>
      </c>
      <c r="H47" s="1">
        <v>0.29399999999999998</v>
      </c>
      <c r="I47" s="1">
        <v>0.15</v>
      </c>
      <c r="J47" s="1">
        <f t="shared" si="0"/>
        <v>1.5860215053763442E-4</v>
      </c>
    </row>
    <row r="48" spans="1:12">
      <c r="A48" s="3">
        <v>80</v>
      </c>
      <c r="B48" s="4">
        <v>1.2E-2</v>
      </c>
      <c r="C48" s="2">
        <v>174.1</v>
      </c>
      <c r="D48" s="4">
        <v>499600000000000</v>
      </c>
      <c r="E48" s="1">
        <v>2.1</v>
      </c>
      <c r="F48" s="1">
        <v>0.2</v>
      </c>
      <c r="G48" s="1">
        <v>5.1699999999999999E-4</v>
      </c>
      <c r="H48" s="1">
        <v>0.68200000000000005</v>
      </c>
      <c r="I48" s="1">
        <v>0.15</v>
      </c>
      <c r="J48" s="1">
        <f t="shared" si="0"/>
        <v>1.1290322580645162E-4</v>
      </c>
    </row>
    <row r="49" spans="1:10">
      <c r="A49" s="3">
        <v>85</v>
      </c>
      <c r="B49" s="4">
        <v>4.4799999999999996E-3</v>
      </c>
      <c r="C49" s="2">
        <v>165.1</v>
      </c>
      <c r="D49" s="4">
        <v>196700000000000</v>
      </c>
      <c r="E49" s="1">
        <v>1.33</v>
      </c>
      <c r="F49" s="1">
        <v>0.56999999999999995</v>
      </c>
      <c r="G49" s="1">
        <v>4.35E-4</v>
      </c>
      <c r="H49" s="1">
        <v>1.47</v>
      </c>
      <c r="I49" s="1">
        <v>0.15</v>
      </c>
      <c r="J49" s="1">
        <f t="shared" si="0"/>
        <v>7.1505376344086023E-5</v>
      </c>
    </row>
    <row r="50" spans="1:10">
      <c r="A50" s="3">
        <v>90</v>
      </c>
      <c r="B50" s="4">
        <v>1.8400000000000001E-3</v>
      </c>
      <c r="C50" s="2">
        <v>165</v>
      </c>
      <c r="D50" s="4">
        <v>72040000000000</v>
      </c>
      <c r="E50" s="1">
        <v>0.85</v>
      </c>
      <c r="F50" s="1">
        <v>0.75</v>
      </c>
      <c r="G50" s="1">
        <v>3.7300000000000001E-4</v>
      </c>
      <c r="H50" s="1">
        <v>2.85</v>
      </c>
      <c r="I50" s="1">
        <v>0.14000000000000001</v>
      </c>
      <c r="J50" s="1">
        <f t="shared" si="0"/>
        <v>4.5698924731182797E-5</v>
      </c>
    </row>
    <row r="51" spans="1:10">
      <c r="A51" s="3">
        <v>95</v>
      </c>
      <c r="B51" s="4">
        <v>6.2500000000000001E-4</v>
      </c>
      <c r="C51" s="2">
        <v>178.3</v>
      </c>
      <c r="D51" s="4">
        <v>25410000000000</v>
      </c>
      <c r="E51" s="1">
        <v>0.54</v>
      </c>
      <c r="F51" s="1">
        <v>0.7</v>
      </c>
      <c r="G51" s="1">
        <v>3.2400000000000001E-4</v>
      </c>
      <c r="H51" s="1">
        <v>5.17</v>
      </c>
      <c r="I51" s="1">
        <v>0.13</v>
      </c>
      <c r="J51" s="1">
        <f t="shared" si="0"/>
        <v>2.903225806451613E-5</v>
      </c>
    </row>
    <row r="52" spans="1:10">
      <c r="A52" s="3">
        <v>100</v>
      </c>
      <c r="B52" s="4">
        <v>2.5799999999999998E-4</v>
      </c>
      <c r="C52" s="2">
        <v>190.5</v>
      </c>
      <c r="D52" s="4">
        <v>9816000000000</v>
      </c>
      <c r="E52" s="1">
        <v>0.4</v>
      </c>
      <c r="F52" s="1">
        <v>0.40300000000000002</v>
      </c>
      <c r="G52" s="1">
        <v>2.8400000000000002E-4</v>
      </c>
      <c r="H52" s="1">
        <v>10.1</v>
      </c>
      <c r="I52" s="1">
        <v>0.12</v>
      </c>
      <c r="J52" s="1">
        <f t="shared" si="0"/>
        <v>2.1505376344086024E-5</v>
      </c>
    </row>
    <row r="53" spans="1:10">
      <c r="A53" s="3">
        <v>105</v>
      </c>
      <c r="B53" s="4">
        <v>1.17E-4</v>
      </c>
      <c r="C53" s="2">
        <v>222.2</v>
      </c>
      <c r="D53" s="4">
        <v>3816000000000</v>
      </c>
      <c r="E53" s="1">
        <v>0.34</v>
      </c>
      <c r="F53" s="1">
        <v>0.2</v>
      </c>
      <c r="G53" s="1">
        <v>2.52E-4</v>
      </c>
      <c r="H53" s="1">
        <v>18.7</v>
      </c>
      <c r="I53" s="1">
        <v>0.11</v>
      </c>
      <c r="J53" s="1">
        <f t="shared" si="0"/>
        <v>1.8279569892473119E-5</v>
      </c>
    </row>
    <row r="54" spans="1:10">
      <c r="A54" s="3">
        <v>110</v>
      </c>
      <c r="B54" s="4">
        <v>6.1099999999999994E-5</v>
      </c>
      <c r="C54" s="2">
        <v>262.39999999999998</v>
      </c>
      <c r="D54" s="4">
        <v>1688000000000</v>
      </c>
      <c r="E54" s="1">
        <v>0.28000000000000003</v>
      </c>
      <c r="F54" s="1">
        <v>0.05</v>
      </c>
      <c r="G54" s="1">
        <v>2.2599999999999999E-4</v>
      </c>
      <c r="H54" s="1">
        <v>28.6</v>
      </c>
      <c r="I54" s="1">
        <v>9.5000000000000001E-2</v>
      </c>
      <c r="J54" s="1">
        <f t="shared" si="0"/>
        <v>1.5053763440860217E-5</v>
      </c>
    </row>
    <row r="55" spans="1:10">
      <c r="A55" s="3">
        <v>115</v>
      </c>
      <c r="B55" s="4">
        <v>3.5599999999999998E-5</v>
      </c>
      <c r="C55" s="2">
        <v>316.8</v>
      </c>
      <c r="D55" s="4">
        <v>814500000000</v>
      </c>
      <c r="E55" s="1">
        <v>0.24</v>
      </c>
      <c r="F55" s="1">
        <v>5.0000000000000001E-3</v>
      </c>
      <c r="G55" s="1">
        <v>2.04E-4</v>
      </c>
      <c r="H55" s="1">
        <v>38.9</v>
      </c>
      <c r="I55" s="1">
        <v>0.06</v>
      </c>
      <c r="J55" s="1">
        <f t="shared" si="0"/>
        <v>1.2903225806451613E-5</v>
      </c>
    </row>
    <row r="56" spans="1:10">
      <c r="A56" s="3">
        <v>120</v>
      </c>
      <c r="B56" s="4">
        <v>2.27E-5</v>
      </c>
      <c r="C56" s="2">
        <v>380</v>
      </c>
      <c r="D56" s="4">
        <v>433000000000</v>
      </c>
      <c r="E56" s="1">
        <v>0.2</v>
      </c>
      <c r="F56" s="1">
        <v>5.0000000000000001E-4</v>
      </c>
      <c r="G56" s="1">
        <v>1.85E-4</v>
      </c>
      <c r="H56" s="1">
        <v>50</v>
      </c>
      <c r="I56" s="1">
        <v>0.03</v>
      </c>
      <c r="J56" s="1">
        <f t="shared" si="0"/>
        <v>1.0752688172043012E-5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6"/>
  <sheetViews>
    <sheetView workbookViewId="0">
      <selection activeCell="J7" sqref="J7:J56"/>
    </sheetView>
  </sheetViews>
  <sheetFormatPr defaultRowHeight="14.4"/>
  <cols>
    <col min="1" max="1" width="9" style="3"/>
    <col min="2" max="2" width="11.6640625" style="4" bestFit="1" customWidth="1"/>
    <col min="3" max="3" width="9.44140625" style="3" bestFit="1" customWidth="1"/>
    <col min="4" max="4" width="11.6640625" bestFit="1" customWidth="1"/>
    <col min="5" max="9" width="10.44140625" bestFit="1" customWidth="1"/>
  </cols>
  <sheetData>
    <row r="1" spans="1:10">
      <c r="A1" s="3" t="s">
        <v>18</v>
      </c>
      <c r="D1" s="4"/>
      <c r="I1" s="1"/>
    </row>
    <row r="2" spans="1:10">
      <c r="A2" s="3" t="s">
        <v>19</v>
      </c>
      <c r="D2" s="4"/>
      <c r="I2" s="1"/>
    </row>
    <row r="3" spans="1:10">
      <c r="D3" s="4"/>
      <c r="I3" s="1"/>
    </row>
    <row r="4" spans="1:10">
      <c r="A4" s="3" t="s">
        <v>2</v>
      </c>
      <c r="B4" s="4" t="s">
        <v>3</v>
      </c>
      <c r="C4" s="3" t="s">
        <v>4</v>
      </c>
      <c r="D4" s="4" t="s">
        <v>5</v>
      </c>
      <c r="E4" t="s">
        <v>8</v>
      </c>
      <c r="F4" t="s">
        <v>9</v>
      </c>
      <c r="G4" t="s">
        <v>6</v>
      </c>
      <c r="H4" t="s">
        <v>10</v>
      </c>
      <c r="I4" s="1" t="s">
        <v>7</v>
      </c>
    </row>
    <row r="5" spans="1:10">
      <c r="A5" s="3" t="s">
        <v>11</v>
      </c>
      <c r="B5" s="4" t="s">
        <v>15</v>
      </c>
      <c r="C5" s="3" t="s">
        <v>12</v>
      </c>
      <c r="D5" s="4" t="s">
        <v>13</v>
      </c>
      <c r="E5" t="s">
        <v>20</v>
      </c>
      <c r="F5" t="s">
        <v>14</v>
      </c>
      <c r="G5" t="s">
        <v>14</v>
      </c>
      <c r="H5" t="s">
        <v>14</v>
      </c>
      <c r="I5" s="1" t="s">
        <v>14</v>
      </c>
    </row>
    <row r="7" spans="1:10">
      <c r="A7" s="3">
        <v>0</v>
      </c>
      <c r="B7" s="4">
        <v>1018</v>
      </c>
      <c r="C7" s="3">
        <v>272.2</v>
      </c>
      <c r="D7" s="1">
        <v>2.711E+19</v>
      </c>
      <c r="E7" s="1">
        <v>4320</v>
      </c>
      <c r="F7" s="1">
        <v>2.7799999999999998E-2</v>
      </c>
      <c r="G7" s="1">
        <v>0.32</v>
      </c>
      <c r="H7" s="1">
        <v>0.15</v>
      </c>
      <c r="I7" s="1">
        <v>1.7</v>
      </c>
      <c r="J7" s="1">
        <f>E7/$E$7</f>
        <v>1</v>
      </c>
    </row>
    <row r="8" spans="1:10">
      <c r="A8" s="3">
        <v>1</v>
      </c>
      <c r="B8" s="4">
        <v>897.3</v>
      </c>
      <c r="C8" s="3">
        <v>268.7</v>
      </c>
      <c r="D8" s="1">
        <v>2.42E+19</v>
      </c>
      <c r="E8" s="1">
        <v>3450</v>
      </c>
      <c r="F8" s="1">
        <v>2.8000000000000001E-2</v>
      </c>
      <c r="G8" s="1">
        <v>0.32</v>
      </c>
      <c r="H8" s="1">
        <v>0.14499999999999999</v>
      </c>
      <c r="I8" s="1">
        <v>1.7</v>
      </c>
      <c r="J8" s="1">
        <f t="shared" ref="J8:J56" si="0">E8/$E$7</f>
        <v>0.79861111111111116</v>
      </c>
    </row>
    <row r="9" spans="1:10">
      <c r="A9" s="3">
        <v>2</v>
      </c>
      <c r="B9" s="4">
        <v>789.7</v>
      </c>
      <c r="C9" s="3">
        <v>265.2</v>
      </c>
      <c r="D9" s="1">
        <v>2.158E+19</v>
      </c>
      <c r="E9" s="1">
        <v>2790</v>
      </c>
      <c r="F9" s="1">
        <v>2.8500000000000001E-2</v>
      </c>
      <c r="G9" s="1">
        <v>0.32</v>
      </c>
      <c r="H9" s="1">
        <v>0.14000000000000001</v>
      </c>
      <c r="I9" s="1">
        <v>1.7</v>
      </c>
      <c r="J9" s="1">
        <f t="shared" si="0"/>
        <v>0.64583333333333337</v>
      </c>
    </row>
    <row r="10" spans="1:10">
      <c r="A10" s="3">
        <v>3</v>
      </c>
      <c r="B10" s="4">
        <v>693.8</v>
      </c>
      <c r="C10" s="3">
        <v>261.7</v>
      </c>
      <c r="D10" s="1">
        <v>1.922E+19</v>
      </c>
      <c r="E10" s="1">
        <v>2090</v>
      </c>
      <c r="F10" s="1">
        <v>3.2000000000000001E-2</v>
      </c>
      <c r="G10" s="1">
        <v>0.32</v>
      </c>
      <c r="H10" s="1">
        <v>0.13500000000000001</v>
      </c>
      <c r="I10" s="1">
        <v>1.7</v>
      </c>
      <c r="J10" s="1">
        <f t="shared" si="0"/>
        <v>0.48379629629629628</v>
      </c>
    </row>
    <row r="11" spans="1:10">
      <c r="A11" s="3">
        <v>4</v>
      </c>
      <c r="B11" s="4">
        <v>608.1</v>
      </c>
      <c r="C11" s="3">
        <v>255.7</v>
      </c>
      <c r="D11" s="1">
        <v>1.724E+19</v>
      </c>
      <c r="E11" s="1">
        <v>1280</v>
      </c>
      <c r="F11" s="1">
        <v>3.5700000000000003E-2</v>
      </c>
      <c r="G11" s="1">
        <v>0.32</v>
      </c>
      <c r="H11" s="1">
        <v>0.13100000000000001</v>
      </c>
      <c r="I11" s="1">
        <v>1.7</v>
      </c>
      <c r="J11" s="1">
        <f t="shared" si="0"/>
        <v>0.29629629629629628</v>
      </c>
    </row>
    <row r="12" spans="1:10">
      <c r="A12" s="3">
        <v>5</v>
      </c>
      <c r="B12" s="4">
        <v>531.29999999999995</v>
      </c>
      <c r="C12" s="3">
        <v>249.7</v>
      </c>
      <c r="D12" s="1">
        <v>1.542E+19</v>
      </c>
      <c r="E12" s="1">
        <v>824</v>
      </c>
      <c r="F12" s="1">
        <v>4.7199999999999999E-2</v>
      </c>
      <c r="G12" s="1">
        <v>0.32</v>
      </c>
      <c r="H12" s="1">
        <v>0.13</v>
      </c>
      <c r="I12" s="1">
        <v>1.69</v>
      </c>
      <c r="J12" s="1">
        <f t="shared" si="0"/>
        <v>0.19074074074074074</v>
      </c>
    </row>
    <row r="13" spans="1:10">
      <c r="A13" s="3">
        <v>6</v>
      </c>
      <c r="B13" s="4">
        <v>462.7</v>
      </c>
      <c r="C13" s="3">
        <v>243.7</v>
      </c>
      <c r="D13" s="1">
        <v>1.376E+19</v>
      </c>
      <c r="E13" s="1">
        <v>510</v>
      </c>
      <c r="F13" s="1">
        <v>5.8400000000000001E-2</v>
      </c>
      <c r="G13" s="1">
        <v>0.32</v>
      </c>
      <c r="H13" s="1">
        <v>0.129</v>
      </c>
      <c r="I13" s="1">
        <v>1.67</v>
      </c>
      <c r="J13" s="1">
        <f t="shared" si="0"/>
        <v>0.11805555555555555</v>
      </c>
    </row>
    <row r="14" spans="1:10">
      <c r="A14" s="3">
        <v>7</v>
      </c>
      <c r="B14" s="4">
        <v>401.8</v>
      </c>
      <c r="C14" s="3">
        <v>237.7</v>
      </c>
      <c r="D14" s="1">
        <v>1.225E+19</v>
      </c>
      <c r="E14" s="1">
        <v>232</v>
      </c>
      <c r="F14" s="1">
        <v>7.8899999999999998E-2</v>
      </c>
      <c r="G14" s="1">
        <v>0.32</v>
      </c>
      <c r="H14" s="1">
        <v>0.125</v>
      </c>
      <c r="I14" s="1">
        <v>1.65</v>
      </c>
      <c r="J14" s="1">
        <f t="shared" si="0"/>
        <v>5.3703703703703705E-2</v>
      </c>
    </row>
    <row r="15" spans="1:10">
      <c r="A15" s="3">
        <v>8</v>
      </c>
      <c r="B15" s="4">
        <v>347.3</v>
      </c>
      <c r="C15" s="3">
        <v>231.7</v>
      </c>
      <c r="D15" s="1">
        <v>1.086E+19</v>
      </c>
      <c r="E15" s="1">
        <v>108</v>
      </c>
      <c r="F15" s="1">
        <v>0.104</v>
      </c>
      <c r="G15" s="1">
        <v>0.32</v>
      </c>
      <c r="H15" s="1">
        <v>0.11899999999999999</v>
      </c>
      <c r="I15" s="1">
        <v>1.63</v>
      </c>
      <c r="J15" s="1">
        <f t="shared" si="0"/>
        <v>2.5000000000000001E-2</v>
      </c>
    </row>
    <row r="16" spans="1:10">
      <c r="A16" s="3">
        <v>9</v>
      </c>
      <c r="B16" s="4">
        <v>299.3</v>
      </c>
      <c r="C16" s="3">
        <v>225.7</v>
      </c>
      <c r="D16" s="1">
        <v>9.612E+18</v>
      </c>
      <c r="E16" s="1">
        <v>55.7</v>
      </c>
      <c r="F16" s="1">
        <v>0.157</v>
      </c>
      <c r="G16" s="1">
        <v>0.316</v>
      </c>
      <c r="H16" s="1">
        <v>0.109</v>
      </c>
      <c r="I16" s="1">
        <v>1.62</v>
      </c>
      <c r="J16" s="1">
        <f t="shared" si="0"/>
        <v>1.2893518518518519E-2</v>
      </c>
    </row>
    <row r="17" spans="1:10">
      <c r="A17" s="3">
        <v>10</v>
      </c>
      <c r="B17" s="4">
        <v>256.8</v>
      </c>
      <c r="C17" s="3">
        <v>219.7</v>
      </c>
      <c r="D17" s="1">
        <v>8.472E+18</v>
      </c>
      <c r="E17" s="1">
        <v>29.6</v>
      </c>
      <c r="F17" s="1">
        <v>0.23699999999999999</v>
      </c>
      <c r="G17" s="1">
        <v>0.31</v>
      </c>
      <c r="H17" s="1">
        <v>9.9599999999999994E-2</v>
      </c>
      <c r="I17" s="1">
        <v>1.58</v>
      </c>
      <c r="J17" s="1">
        <f t="shared" si="0"/>
        <v>6.851851851851852E-3</v>
      </c>
    </row>
    <row r="18" spans="1:10">
      <c r="A18" s="3">
        <v>11</v>
      </c>
      <c r="B18" s="4">
        <v>219.9</v>
      </c>
      <c r="C18" s="3">
        <v>219.2</v>
      </c>
      <c r="D18" s="1">
        <v>7.271E+18</v>
      </c>
      <c r="E18" s="1">
        <v>10</v>
      </c>
      <c r="F18" s="1">
        <v>0.36199999999999999</v>
      </c>
      <c r="G18" s="1">
        <v>0.29899999999999999</v>
      </c>
      <c r="H18" s="1">
        <v>8.9599999999999999E-2</v>
      </c>
      <c r="I18" s="1">
        <v>1.54</v>
      </c>
      <c r="J18" s="1">
        <f t="shared" si="0"/>
        <v>2.3148148148148147E-3</v>
      </c>
    </row>
    <row r="19" spans="1:10">
      <c r="A19" s="3">
        <v>12</v>
      </c>
      <c r="B19" s="4">
        <v>188.2</v>
      </c>
      <c r="C19" s="3">
        <v>218.7</v>
      </c>
      <c r="D19" s="1">
        <v>6.237E+18</v>
      </c>
      <c r="E19" s="1">
        <v>6</v>
      </c>
      <c r="F19" s="1">
        <v>0.52300000000000002</v>
      </c>
      <c r="G19" s="1">
        <v>0.29399999999999998</v>
      </c>
      <c r="H19" s="1">
        <v>7.8100000000000003E-2</v>
      </c>
      <c r="I19" s="1">
        <v>1.51</v>
      </c>
      <c r="J19" s="1">
        <f t="shared" si="0"/>
        <v>1.3888888888888889E-3</v>
      </c>
    </row>
    <row r="20" spans="1:10">
      <c r="A20" s="3">
        <v>13</v>
      </c>
      <c r="B20" s="4">
        <v>161.1</v>
      </c>
      <c r="C20" s="3">
        <v>218.2</v>
      </c>
      <c r="D20" s="1">
        <v>5.351E+18</v>
      </c>
      <c r="E20" s="1">
        <v>5</v>
      </c>
      <c r="F20" s="1">
        <v>0.70399999999999996</v>
      </c>
      <c r="G20" s="1">
        <v>0.28599999999999998</v>
      </c>
      <c r="H20" s="1">
        <v>6.3700000000000007E-2</v>
      </c>
      <c r="I20" s="1">
        <v>1.48</v>
      </c>
      <c r="J20" s="1">
        <f t="shared" si="0"/>
        <v>1.1574074074074073E-3</v>
      </c>
    </row>
    <row r="21" spans="1:10">
      <c r="A21" s="3">
        <v>14</v>
      </c>
      <c r="B21" s="4">
        <v>137.80000000000001</v>
      </c>
      <c r="C21" s="3">
        <v>217.7</v>
      </c>
      <c r="D21" s="1">
        <v>4.588E+18</v>
      </c>
      <c r="E21" s="1">
        <v>4.8</v>
      </c>
      <c r="F21" s="1">
        <v>0.8</v>
      </c>
      <c r="G21" s="1">
        <v>0.28000000000000003</v>
      </c>
      <c r="H21" s="1">
        <v>3.0300000000000001E-2</v>
      </c>
      <c r="I21" s="1">
        <v>1.45</v>
      </c>
      <c r="J21" s="1">
        <f t="shared" si="0"/>
        <v>1.1111111111111111E-3</v>
      </c>
    </row>
    <row r="22" spans="1:10">
      <c r="A22" s="3">
        <v>15</v>
      </c>
      <c r="B22" s="4">
        <v>117.8</v>
      </c>
      <c r="C22" s="3">
        <v>217.2</v>
      </c>
      <c r="D22" s="1">
        <v>3.931E+18</v>
      </c>
      <c r="E22" s="1">
        <v>4.7</v>
      </c>
      <c r="F22" s="1">
        <v>0.9</v>
      </c>
      <c r="G22" s="1">
        <v>0.27200000000000002</v>
      </c>
      <c r="H22" s="1">
        <v>3.9399999999999998E-2</v>
      </c>
      <c r="I22" s="1">
        <v>1.42</v>
      </c>
      <c r="J22" s="1">
        <f t="shared" si="0"/>
        <v>1.0879629629629631E-3</v>
      </c>
    </row>
    <row r="23" spans="1:10">
      <c r="A23" s="3">
        <v>16</v>
      </c>
      <c r="B23" s="4">
        <v>100.7</v>
      </c>
      <c r="C23" s="3">
        <v>216.7</v>
      </c>
      <c r="D23" s="1">
        <v>3.366E+18</v>
      </c>
      <c r="E23" s="1">
        <v>4.5</v>
      </c>
      <c r="F23" s="1">
        <v>1.1000000000000001</v>
      </c>
      <c r="G23" s="1">
        <v>0.26100000000000001</v>
      </c>
      <c r="H23" s="1">
        <v>3.0700000000000002E-2</v>
      </c>
      <c r="I23" s="1">
        <v>1.39</v>
      </c>
      <c r="J23" s="1">
        <f t="shared" si="0"/>
        <v>1.0416666666666667E-3</v>
      </c>
    </row>
    <row r="24" spans="1:10">
      <c r="A24" s="3">
        <v>17</v>
      </c>
      <c r="B24" s="4">
        <v>86.1</v>
      </c>
      <c r="C24" s="3">
        <v>216.2</v>
      </c>
      <c r="D24" s="1">
        <v>2.886E+18</v>
      </c>
      <c r="E24" s="1">
        <v>4.5</v>
      </c>
      <c r="F24" s="1">
        <v>1.4</v>
      </c>
      <c r="G24" s="1">
        <v>0.24199999999999999</v>
      </c>
      <c r="H24" s="1">
        <v>2.4899999999999999E-2</v>
      </c>
      <c r="I24" s="1">
        <v>1.36</v>
      </c>
      <c r="J24" s="1">
        <f t="shared" si="0"/>
        <v>1.0416666666666667E-3</v>
      </c>
    </row>
    <row r="25" spans="1:10">
      <c r="A25" s="3">
        <v>18</v>
      </c>
      <c r="B25" s="4">
        <v>73.599999999999994</v>
      </c>
      <c r="C25" s="3">
        <v>215.7</v>
      </c>
      <c r="D25" s="1">
        <v>2.473E+18</v>
      </c>
      <c r="E25" s="1">
        <v>4.5</v>
      </c>
      <c r="F25" s="1">
        <v>1.8</v>
      </c>
      <c r="G25" s="1">
        <v>0.217</v>
      </c>
      <c r="H25" s="1">
        <v>1.9699999999999999E-2</v>
      </c>
      <c r="I25" s="1">
        <v>1.32</v>
      </c>
      <c r="J25" s="1">
        <f t="shared" si="0"/>
        <v>1.0416666666666667E-3</v>
      </c>
    </row>
    <row r="26" spans="1:10">
      <c r="A26" s="3">
        <v>19</v>
      </c>
      <c r="B26" s="4">
        <v>62.8</v>
      </c>
      <c r="C26" s="3">
        <v>215.2</v>
      </c>
      <c r="D26" s="1">
        <v>2.115E+18</v>
      </c>
      <c r="E26" s="1">
        <v>4.5</v>
      </c>
      <c r="F26" s="1">
        <v>2.2999999999999998</v>
      </c>
      <c r="G26" s="1">
        <v>0.184</v>
      </c>
      <c r="H26" s="1">
        <v>1.55E-2</v>
      </c>
      <c r="I26" s="1">
        <v>1.28</v>
      </c>
      <c r="J26" s="1">
        <f t="shared" si="0"/>
        <v>1.0416666666666667E-3</v>
      </c>
    </row>
    <row r="27" spans="1:10">
      <c r="A27" s="3">
        <v>20</v>
      </c>
      <c r="B27" s="4">
        <v>53.7</v>
      </c>
      <c r="C27" s="3">
        <v>215.2</v>
      </c>
      <c r="D27" s="1">
        <v>1.809E+18</v>
      </c>
      <c r="E27" s="1">
        <v>4.5</v>
      </c>
      <c r="F27" s="1">
        <v>2.9</v>
      </c>
      <c r="G27" s="1">
        <v>0.16200000000000001</v>
      </c>
      <c r="H27" s="1">
        <v>1.3299999999999999E-2</v>
      </c>
      <c r="I27" s="1">
        <v>1.22</v>
      </c>
      <c r="J27" s="1">
        <f t="shared" si="0"/>
        <v>1.0416666666666667E-3</v>
      </c>
    </row>
    <row r="28" spans="1:10">
      <c r="A28" s="3">
        <v>21</v>
      </c>
      <c r="B28" s="4">
        <v>45.8</v>
      </c>
      <c r="C28" s="3">
        <v>215.2</v>
      </c>
      <c r="D28" s="1">
        <v>1.543E+18</v>
      </c>
      <c r="E28" s="1">
        <v>4.5</v>
      </c>
      <c r="F28" s="1">
        <v>3.5</v>
      </c>
      <c r="G28" s="1">
        <v>0.13600000000000001</v>
      </c>
      <c r="H28" s="1">
        <v>1.23E-2</v>
      </c>
      <c r="I28" s="1">
        <v>1.1499999999999999</v>
      </c>
      <c r="J28" s="1">
        <f t="shared" si="0"/>
        <v>1.0416666666666667E-3</v>
      </c>
    </row>
    <row r="29" spans="1:10">
      <c r="A29" s="3">
        <v>22</v>
      </c>
      <c r="B29" s="4">
        <v>39.1</v>
      </c>
      <c r="C29" s="3">
        <v>215.2</v>
      </c>
      <c r="D29" s="1">
        <v>1.317E+18</v>
      </c>
      <c r="E29" s="1">
        <v>4.53</v>
      </c>
      <c r="F29" s="1">
        <v>3.9</v>
      </c>
      <c r="G29" s="1">
        <v>0.123</v>
      </c>
      <c r="H29" s="1">
        <v>1.23E-2</v>
      </c>
      <c r="I29" s="1">
        <v>1.07</v>
      </c>
      <c r="J29" s="1">
        <f t="shared" si="0"/>
        <v>1.0486111111111113E-3</v>
      </c>
    </row>
    <row r="30" spans="1:10">
      <c r="A30" s="3">
        <v>23</v>
      </c>
      <c r="B30" s="4">
        <v>33.4</v>
      </c>
      <c r="C30" s="3">
        <v>215.2</v>
      </c>
      <c r="D30" s="1">
        <v>1.125E+18</v>
      </c>
      <c r="E30" s="1">
        <v>4.55</v>
      </c>
      <c r="F30" s="1">
        <v>4.3</v>
      </c>
      <c r="G30" s="1">
        <v>0.112</v>
      </c>
      <c r="H30" s="1">
        <v>1.3100000000000001E-2</v>
      </c>
      <c r="I30" s="1">
        <v>0.97299999999999998</v>
      </c>
      <c r="J30" s="1">
        <f t="shared" si="0"/>
        <v>1.0532407407407407E-3</v>
      </c>
    </row>
    <row r="31" spans="1:10">
      <c r="A31" s="3">
        <v>24</v>
      </c>
      <c r="B31" s="4">
        <v>28.6</v>
      </c>
      <c r="C31" s="3">
        <v>215.2</v>
      </c>
      <c r="D31" s="1">
        <v>9.633E+17</v>
      </c>
      <c r="E31" s="1">
        <v>4.5999999999999996</v>
      </c>
      <c r="F31" s="1">
        <v>4.7</v>
      </c>
      <c r="G31" s="1">
        <v>0.105</v>
      </c>
      <c r="H31" s="1">
        <v>1.4E-2</v>
      </c>
      <c r="I31" s="1">
        <v>0.88</v>
      </c>
      <c r="J31" s="1">
        <f t="shared" si="0"/>
        <v>1.0648148148148147E-3</v>
      </c>
    </row>
    <row r="32" spans="1:10">
      <c r="A32" s="3">
        <v>25</v>
      </c>
      <c r="B32" s="4">
        <v>24.4</v>
      </c>
      <c r="C32" s="3">
        <v>215.2</v>
      </c>
      <c r="D32" s="1">
        <v>8.218E+17</v>
      </c>
      <c r="E32" s="1">
        <v>4.6500000000000004</v>
      </c>
      <c r="F32" s="1">
        <v>5.0999999999999996</v>
      </c>
      <c r="G32" s="1">
        <v>9.6600000000000005E-2</v>
      </c>
      <c r="H32" s="1">
        <v>1.4999999999999999E-2</v>
      </c>
      <c r="I32" s="1">
        <v>0.79300000000000004</v>
      </c>
      <c r="J32" s="1">
        <f t="shared" si="0"/>
        <v>1.0763888888888889E-3</v>
      </c>
    </row>
    <row r="33" spans="1:10">
      <c r="A33" s="3">
        <v>27.5</v>
      </c>
      <c r="B33" s="4">
        <v>16.46</v>
      </c>
      <c r="C33" s="3">
        <v>215.5</v>
      </c>
      <c r="D33" s="1">
        <v>5.536E+17</v>
      </c>
      <c r="E33" s="1">
        <v>4.7</v>
      </c>
      <c r="F33" s="1">
        <v>5.6</v>
      </c>
      <c r="G33" s="1">
        <v>8.6900000000000005E-2</v>
      </c>
      <c r="H33" s="1">
        <v>1.6E-2</v>
      </c>
      <c r="I33" s="1">
        <v>0.71299999999999997</v>
      </c>
      <c r="J33" s="1">
        <f t="shared" si="0"/>
        <v>1.0879629629629631E-3</v>
      </c>
    </row>
    <row r="34" spans="1:10">
      <c r="A34" s="3">
        <v>30</v>
      </c>
      <c r="B34" s="4">
        <v>11.1</v>
      </c>
      <c r="C34" s="3">
        <v>217.4</v>
      </c>
      <c r="D34" s="1">
        <v>3.701E+17</v>
      </c>
      <c r="E34" s="1">
        <v>4.75</v>
      </c>
      <c r="F34" s="1">
        <v>6.1</v>
      </c>
      <c r="G34" s="1">
        <v>7.5200000000000003E-2</v>
      </c>
      <c r="H34" s="1">
        <v>1.7100000000000001E-2</v>
      </c>
      <c r="I34" s="1">
        <v>0.64400000000000002</v>
      </c>
      <c r="J34" s="1">
        <f t="shared" si="0"/>
        <v>1.0995370370370371E-3</v>
      </c>
    </row>
    <row r="35" spans="1:10">
      <c r="A35" s="3">
        <v>32.5</v>
      </c>
      <c r="B35" s="4">
        <v>7.56</v>
      </c>
      <c r="C35" s="3">
        <v>220.4</v>
      </c>
      <c r="D35" s="1">
        <v>2.486E+17</v>
      </c>
      <c r="E35" s="1">
        <v>4.8</v>
      </c>
      <c r="F35" s="1">
        <v>6.8</v>
      </c>
      <c r="G35" s="1">
        <v>6.13E-2</v>
      </c>
      <c r="H35" s="1">
        <v>1.8499999999999999E-2</v>
      </c>
      <c r="I35" s="1">
        <v>0.57499999999999996</v>
      </c>
      <c r="J35" s="1">
        <f t="shared" si="0"/>
        <v>1.1111111111111111E-3</v>
      </c>
    </row>
    <row r="36" spans="1:10">
      <c r="A36" s="3">
        <v>35</v>
      </c>
      <c r="B36" s="4">
        <v>5.18</v>
      </c>
      <c r="C36" s="3">
        <v>227.9</v>
      </c>
      <c r="D36" s="1">
        <v>1.645E+17</v>
      </c>
      <c r="E36" s="1">
        <v>4.8499999999999996</v>
      </c>
      <c r="F36" s="1">
        <v>7.1</v>
      </c>
      <c r="G36" s="1">
        <v>5.1200000000000002E-2</v>
      </c>
      <c r="H36" s="1">
        <v>0.02</v>
      </c>
      <c r="I36" s="1">
        <v>0.505</v>
      </c>
      <c r="J36" s="1">
        <f t="shared" si="0"/>
        <v>1.1226851851851851E-3</v>
      </c>
    </row>
    <row r="37" spans="1:10">
      <c r="A37" s="3">
        <v>37.5</v>
      </c>
      <c r="B37" s="4">
        <v>3.6</v>
      </c>
      <c r="C37" s="3">
        <v>235.5</v>
      </c>
      <c r="D37" s="1">
        <v>1.108E+17</v>
      </c>
      <c r="E37" s="1">
        <v>4.9000000000000004</v>
      </c>
      <c r="F37" s="1">
        <v>7.2</v>
      </c>
      <c r="G37" s="1">
        <v>3.9699999999999999E-2</v>
      </c>
      <c r="H37" s="1">
        <v>2.1499999999999998E-2</v>
      </c>
      <c r="I37" s="1">
        <v>0.44800000000000001</v>
      </c>
      <c r="J37" s="1">
        <f t="shared" si="0"/>
        <v>1.1342592592592593E-3</v>
      </c>
    </row>
    <row r="38" spans="1:10">
      <c r="A38" s="3">
        <v>40</v>
      </c>
      <c r="B38" s="4">
        <v>2.5299999999999998</v>
      </c>
      <c r="C38" s="3">
        <v>243.2</v>
      </c>
      <c r="D38" s="1">
        <v>7.54E+16</v>
      </c>
      <c r="E38" s="1">
        <v>4.95</v>
      </c>
      <c r="F38" s="1">
        <v>6.9</v>
      </c>
      <c r="G38" s="1">
        <v>0.03</v>
      </c>
      <c r="H38" s="1">
        <v>2.3300000000000001E-2</v>
      </c>
      <c r="I38" s="1">
        <v>0.39300000000000002</v>
      </c>
      <c r="J38" s="1">
        <f t="shared" si="0"/>
        <v>1.1458333333333333E-3</v>
      </c>
    </row>
    <row r="39" spans="1:10">
      <c r="A39" s="3">
        <v>42.5</v>
      </c>
      <c r="B39" s="4">
        <v>1.8</v>
      </c>
      <c r="C39" s="3">
        <v>250.8</v>
      </c>
      <c r="D39" s="1">
        <v>5.202E+16</v>
      </c>
      <c r="E39" s="1">
        <v>5</v>
      </c>
      <c r="F39" s="1">
        <v>5.9</v>
      </c>
      <c r="G39" s="1">
        <v>2.0799999999999999E-2</v>
      </c>
      <c r="H39" s="1">
        <v>2.6249999999999999E-2</v>
      </c>
      <c r="I39" s="1">
        <v>0.34050000000000002</v>
      </c>
      <c r="J39" s="1">
        <f t="shared" si="0"/>
        <v>1.1574074074074073E-3</v>
      </c>
    </row>
    <row r="40" spans="1:10">
      <c r="A40" s="3">
        <v>45</v>
      </c>
      <c r="B40" s="4">
        <v>1.29</v>
      </c>
      <c r="C40" s="3">
        <v>258.5</v>
      </c>
      <c r="D40" s="1">
        <v>3.617E+16</v>
      </c>
      <c r="E40" s="1">
        <v>5</v>
      </c>
      <c r="F40" s="1">
        <v>4.5999999999999996</v>
      </c>
      <c r="G40" s="1">
        <v>1.3100000000000001E-2</v>
      </c>
      <c r="H40" s="1">
        <v>3.0599999999999999E-2</v>
      </c>
      <c r="I40" s="1">
        <v>0.28799999999999998</v>
      </c>
      <c r="J40" s="1">
        <f t="shared" si="0"/>
        <v>1.1574074074074073E-3</v>
      </c>
    </row>
    <row r="41" spans="1:10">
      <c r="A41" s="3">
        <v>47.5</v>
      </c>
      <c r="B41" s="4">
        <v>0.94</v>
      </c>
      <c r="C41" s="3">
        <v>265.10000000000002</v>
      </c>
      <c r="D41" s="1">
        <v>2.57E+16</v>
      </c>
      <c r="E41" s="1">
        <v>5</v>
      </c>
      <c r="F41" s="1">
        <v>3.7</v>
      </c>
      <c r="G41" s="1">
        <v>8.0700000000000008E-3</v>
      </c>
      <c r="H41" s="1">
        <v>3.7999999999999999E-2</v>
      </c>
      <c r="I41" s="1">
        <v>0.23899999999999999</v>
      </c>
      <c r="J41" s="1">
        <f t="shared" si="0"/>
        <v>1.1574074074074073E-3</v>
      </c>
    </row>
    <row r="42" spans="1:10">
      <c r="A42" s="3">
        <v>50</v>
      </c>
      <c r="B42" s="4">
        <v>0.68300000000000005</v>
      </c>
      <c r="C42" s="3">
        <v>265.7</v>
      </c>
      <c r="D42" s="1">
        <v>1.863E+16</v>
      </c>
      <c r="E42" s="1">
        <v>4.95</v>
      </c>
      <c r="F42" s="1">
        <v>2.75</v>
      </c>
      <c r="G42" s="1">
        <v>4.1599999999999996E-3</v>
      </c>
      <c r="H42" s="1">
        <v>6.25E-2</v>
      </c>
      <c r="I42" s="1">
        <v>0.19400000000000001</v>
      </c>
      <c r="J42" s="1">
        <f t="shared" si="0"/>
        <v>1.1458333333333333E-3</v>
      </c>
    </row>
    <row r="43" spans="1:10">
      <c r="A43" s="3">
        <v>55</v>
      </c>
      <c r="B43" s="4">
        <v>0.36199999999999999</v>
      </c>
      <c r="C43" s="3">
        <v>260.60000000000002</v>
      </c>
      <c r="D43" s="1">
        <v>1.007E-16</v>
      </c>
      <c r="E43" s="1">
        <v>4.8499999999999996</v>
      </c>
      <c r="F43" s="1">
        <v>1.7</v>
      </c>
      <c r="G43" s="1">
        <v>2.63E-3</v>
      </c>
      <c r="H43" s="1">
        <v>0.14799999999999999</v>
      </c>
      <c r="I43" s="1">
        <v>0.157</v>
      </c>
      <c r="J43" s="1">
        <f t="shared" si="0"/>
        <v>1.1226851851851851E-3</v>
      </c>
    </row>
    <row r="44" spans="1:10">
      <c r="A44" s="3">
        <v>60</v>
      </c>
      <c r="B44" s="4">
        <v>0.188</v>
      </c>
      <c r="C44" s="3">
        <v>250.8</v>
      </c>
      <c r="D44" s="1">
        <v>5433000000000000</v>
      </c>
      <c r="E44" s="1">
        <v>4.5</v>
      </c>
      <c r="F44" s="1">
        <v>1</v>
      </c>
      <c r="G44" s="1">
        <v>1.81E-3</v>
      </c>
      <c r="H44" s="1">
        <v>0.29299999999999998</v>
      </c>
      <c r="I44" s="1">
        <v>0.15</v>
      </c>
      <c r="J44" s="1">
        <f t="shared" si="0"/>
        <v>1.0416666666666667E-3</v>
      </c>
    </row>
    <row r="45" spans="1:10">
      <c r="A45" s="3">
        <v>65</v>
      </c>
      <c r="B45" s="4">
        <v>9.5000000000000001E-2</v>
      </c>
      <c r="C45" s="3">
        <v>240.9</v>
      </c>
      <c r="D45" s="1">
        <v>2858000000000000</v>
      </c>
      <c r="E45" s="1">
        <v>4</v>
      </c>
      <c r="F45" s="1">
        <v>0.55000000000000004</v>
      </c>
      <c r="G45" s="1">
        <v>1.32E-3</v>
      </c>
      <c r="H45" s="1">
        <v>0.55900000000000005</v>
      </c>
      <c r="I45" s="1">
        <v>0.15</v>
      </c>
      <c r="J45" s="1">
        <f t="shared" si="0"/>
        <v>9.2592592592592596E-4</v>
      </c>
    </row>
    <row r="46" spans="1:10">
      <c r="A46" s="3">
        <v>70</v>
      </c>
      <c r="B46" s="4">
        <v>4.7E-2</v>
      </c>
      <c r="C46" s="3">
        <v>230.7</v>
      </c>
      <c r="D46" s="1">
        <v>1477000000000000</v>
      </c>
      <c r="E46" s="1">
        <v>3.3</v>
      </c>
      <c r="F46" s="1">
        <v>0.32</v>
      </c>
      <c r="G46" s="1">
        <v>1.01E-3</v>
      </c>
      <c r="H46" s="1">
        <v>1.08</v>
      </c>
      <c r="I46" s="1">
        <v>0.15</v>
      </c>
      <c r="J46" s="1">
        <f t="shared" si="0"/>
        <v>7.6388888888888882E-4</v>
      </c>
    </row>
    <row r="47" spans="1:10">
      <c r="A47" s="3">
        <v>75</v>
      </c>
      <c r="B47" s="4">
        <v>2.2200000000000001E-2</v>
      </c>
      <c r="C47" s="3">
        <v>220.4</v>
      </c>
      <c r="D47" s="1">
        <v>730100000000000</v>
      </c>
      <c r="E47" s="1">
        <v>2.7</v>
      </c>
      <c r="F47" s="1">
        <v>0.25</v>
      </c>
      <c r="G47" s="1">
        <v>7.8799999999999996E-4</v>
      </c>
      <c r="H47" s="1">
        <v>1.9</v>
      </c>
      <c r="I47" s="1">
        <v>0.15</v>
      </c>
      <c r="J47" s="1">
        <f t="shared" si="0"/>
        <v>6.2500000000000001E-4</v>
      </c>
    </row>
    <row r="48" spans="1:10">
      <c r="A48" s="3">
        <v>80</v>
      </c>
      <c r="B48" s="4">
        <v>1.03E-2</v>
      </c>
      <c r="C48" s="3">
        <v>210.1</v>
      </c>
      <c r="D48" s="1">
        <v>355300000000000</v>
      </c>
      <c r="E48" s="1">
        <v>2</v>
      </c>
      <c r="F48" s="1">
        <v>0.23</v>
      </c>
      <c r="G48" s="1">
        <v>6.3299999999999999E-4</v>
      </c>
      <c r="H48" s="1">
        <v>2.96</v>
      </c>
      <c r="I48" s="1">
        <v>0.15</v>
      </c>
      <c r="J48" s="1">
        <f t="shared" si="0"/>
        <v>4.6296296296296298E-4</v>
      </c>
    </row>
    <row r="49" spans="1:10">
      <c r="A49" s="3">
        <v>85</v>
      </c>
      <c r="B49" s="4">
        <v>4.5599999999999998E-3</v>
      </c>
      <c r="C49" s="3">
        <v>199.8</v>
      </c>
      <c r="D49" s="1">
        <v>165400000000000</v>
      </c>
      <c r="E49" s="1">
        <v>1.33</v>
      </c>
      <c r="F49" s="1">
        <v>0.55000000000000004</v>
      </c>
      <c r="G49" s="1">
        <v>5.1900000000000004E-4</v>
      </c>
      <c r="H49" s="1">
        <v>4.53</v>
      </c>
      <c r="I49" s="1">
        <v>0.15</v>
      </c>
      <c r="J49" s="1">
        <f t="shared" si="0"/>
        <v>3.078703703703704E-4</v>
      </c>
    </row>
    <row r="50" spans="1:10">
      <c r="A50" s="3">
        <v>90</v>
      </c>
      <c r="B50" s="4">
        <v>1.98E-3</v>
      </c>
      <c r="C50" s="3">
        <v>199.5</v>
      </c>
      <c r="D50" s="1">
        <v>71940000000000</v>
      </c>
      <c r="E50" s="1">
        <v>0.85</v>
      </c>
      <c r="F50" s="1">
        <v>0.8</v>
      </c>
      <c r="G50" s="1">
        <v>4.3300000000000001E-4</v>
      </c>
      <c r="H50" s="1">
        <v>6.86</v>
      </c>
      <c r="I50" s="1">
        <v>0.14000000000000001</v>
      </c>
      <c r="J50" s="1">
        <f t="shared" si="0"/>
        <v>1.9675925925925926E-4</v>
      </c>
    </row>
    <row r="51" spans="1:10">
      <c r="A51" s="3">
        <v>95</v>
      </c>
      <c r="B51" s="4">
        <v>8.7699999999999996E-4</v>
      </c>
      <c r="C51" s="3">
        <v>208.3</v>
      </c>
      <c r="D51" s="1">
        <v>30520000000000</v>
      </c>
      <c r="E51" s="1">
        <v>0.54</v>
      </c>
      <c r="F51" s="1">
        <v>0.8</v>
      </c>
      <c r="G51" s="1">
        <v>3.6699999999999998E-4</v>
      </c>
      <c r="H51" s="1">
        <v>10.5</v>
      </c>
      <c r="I51" s="1">
        <v>0.13</v>
      </c>
      <c r="J51" s="1">
        <f t="shared" si="0"/>
        <v>1.25E-4</v>
      </c>
    </row>
    <row r="52" spans="1:10">
      <c r="A52" s="3">
        <v>100</v>
      </c>
      <c r="B52" s="4">
        <v>4.0739999999999998E-4</v>
      </c>
      <c r="C52" s="3">
        <v>218.6</v>
      </c>
      <c r="D52" s="1">
        <v>13510000000000</v>
      </c>
      <c r="E52" s="1">
        <v>0.4</v>
      </c>
      <c r="F52" s="1">
        <v>0.4</v>
      </c>
      <c r="G52" s="1">
        <v>3.1399999999999999E-4</v>
      </c>
      <c r="H52" s="1">
        <v>17.100000000000001</v>
      </c>
      <c r="I52" s="1">
        <v>0.12</v>
      </c>
      <c r="J52" s="1">
        <f t="shared" si="0"/>
        <v>9.2592592592592602E-5</v>
      </c>
    </row>
    <row r="53" spans="1:10">
      <c r="A53" s="3">
        <v>105</v>
      </c>
      <c r="B53" s="4">
        <v>2.0000000000000001E-4</v>
      </c>
      <c r="C53" s="3">
        <v>237.1</v>
      </c>
      <c r="D53" s="1">
        <v>6114000000000</v>
      </c>
      <c r="E53" s="1">
        <v>0.34</v>
      </c>
      <c r="F53" s="1">
        <v>0.2</v>
      </c>
      <c r="G53" s="1">
        <v>2.72E-4</v>
      </c>
      <c r="H53" s="1">
        <v>24.7</v>
      </c>
      <c r="I53" s="1">
        <v>0.11</v>
      </c>
      <c r="J53" s="1">
        <f t="shared" si="0"/>
        <v>7.8703703703703715E-5</v>
      </c>
    </row>
    <row r="54" spans="1:10">
      <c r="A54" s="3">
        <v>110</v>
      </c>
      <c r="B54" s="4">
        <v>1.0569999999999999E-4</v>
      </c>
      <c r="C54" s="3">
        <v>259.5</v>
      </c>
      <c r="D54" s="1">
        <v>2952000000000</v>
      </c>
      <c r="E54" s="1">
        <v>0.28000000000000003</v>
      </c>
      <c r="F54" s="1">
        <v>5.0049999999999997E-2</v>
      </c>
      <c r="G54" s="1">
        <v>2.3699999999999999E-4</v>
      </c>
      <c r="H54" s="1">
        <v>33.6</v>
      </c>
      <c r="I54" s="1">
        <v>9.5000000000000001E-2</v>
      </c>
      <c r="J54" s="1">
        <f t="shared" si="0"/>
        <v>6.4814814814814816E-5</v>
      </c>
    </row>
    <row r="55" spans="1:10">
      <c r="A55" s="3">
        <v>115</v>
      </c>
      <c r="B55" s="4">
        <v>5.9799999999999997E-5</v>
      </c>
      <c r="C55" s="3">
        <v>293</v>
      </c>
      <c r="D55" s="1">
        <v>1479000000000</v>
      </c>
      <c r="E55" s="1">
        <v>0.24</v>
      </c>
      <c r="F55" s="1">
        <v>5.0000000000000001E-3</v>
      </c>
      <c r="G55" s="1">
        <v>2.0900000000000001E-4</v>
      </c>
      <c r="H55" s="1">
        <v>41.5</v>
      </c>
      <c r="I55" s="1">
        <v>0.06</v>
      </c>
      <c r="J55" s="1">
        <f t="shared" si="0"/>
        <v>5.5555555555555551E-5</v>
      </c>
    </row>
    <row r="56" spans="1:10">
      <c r="A56" s="3">
        <v>120</v>
      </c>
      <c r="B56" s="4">
        <v>3.6000000000000001E-5</v>
      </c>
      <c r="C56" s="3">
        <v>333</v>
      </c>
      <c r="D56" s="1">
        <v>783600000000</v>
      </c>
      <c r="E56" s="1">
        <v>0.2</v>
      </c>
      <c r="F56" s="1">
        <v>5.0000000000000001E-4</v>
      </c>
      <c r="G56" s="1">
        <v>1.85E-4</v>
      </c>
      <c r="H56" s="1">
        <v>50</v>
      </c>
      <c r="I56" s="1">
        <v>0.03</v>
      </c>
      <c r="J56" s="1">
        <f t="shared" si="0"/>
        <v>4.6296296296296301E-5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selection activeCell="J7" sqref="J7:J56"/>
    </sheetView>
  </sheetViews>
  <sheetFormatPr defaultRowHeight="14.4"/>
  <cols>
    <col min="1" max="1" width="9" style="3"/>
    <col min="2" max="2" width="11.6640625" style="4" bestFit="1" customWidth="1"/>
    <col min="3" max="3" width="11.6640625" bestFit="1" customWidth="1"/>
    <col min="4" max="4" width="11.6640625" style="4" bestFit="1" customWidth="1"/>
    <col min="5" max="8" width="10.44140625" bestFit="1" customWidth="1"/>
    <col min="9" max="9" width="9.44140625" bestFit="1" customWidth="1"/>
  </cols>
  <sheetData>
    <row r="1" spans="1:10">
      <c r="A1" s="3" t="s">
        <v>22</v>
      </c>
      <c r="C1" s="3"/>
      <c r="I1" s="1"/>
    </row>
    <row r="2" spans="1:10">
      <c r="A2" s="3" t="s">
        <v>36</v>
      </c>
      <c r="C2" s="3"/>
      <c r="I2" s="1"/>
    </row>
    <row r="3" spans="1:10">
      <c r="C3" s="3"/>
      <c r="I3" s="1"/>
    </row>
    <row r="4" spans="1:10">
      <c r="A4" s="3" t="s">
        <v>2</v>
      </c>
      <c r="B4" s="4" t="s">
        <v>3</v>
      </c>
      <c r="C4" s="3" t="s">
        <v>4</v>
      </c>
      <c r="D4" s="4" t="s">
        <v>5</v>
      </c>
      <c r="E4" t="s">
        <v>8</v>
      </c>
      <c r="F4" t="s">
        <v>9</v>
      </c>
      <c r="G4" t="s">
        <v>6</v>
      </c>
      <c r="H4" t="s">
        <v>10</v>
      </c>
      <c r="I4" s="1" t="s">
        <v>7</v>
      </c>
    </row>
    <row r="5" spans="1:10">
      <c r="A5" s="3" t="s">
        <v>11</v>
      </c>
      <c r="B5" s="4" t="s">
        <v>15</v>
      </c>
      <c r="C5" s="3" t="s">
        <v>12</v>
      </c>
      <c r="D5" s="4" t="s">
        <v>13</v>
      </c>
      <c r="E5" t="s">
        <v>20</v>
      </c>
      <c r="F5" t="s">
        <v>14</v>
      </c>
      <c r="G5" t="s">
        <v>14</v>
      </c>
      <c r="H5" t="s">
        <v>14</v>
      </c>
      <c r="I5" s="1" t="s">
        <v>14</v>
      </c>
    </row>
    <row r="7" spans="1:10">
      <c r="A7" s="3">
        <v>0</v>
      </c>
      <c r="B7" s="4">
        <v>1010</v>
      </c>
      <c r="C7">
        <v>287.2</v>
      </c>
      <c r="D7" s="4">
        <v>2.549E+19</v>
      </c>
      <c r="E7" s="1">
        <v>11900</v>
      </c>
      <c r="F7" s="1">
        <v>2.41E-2</v>
      </c>
      <c r="G7" s="1">
        <v>0.31</v>
      </c>
      <c r="H7" s="1">
        <v>0.15</v>
      </c>
      <c r="I7" s="1">
        <v>1.7</v>
      </c>
      <c r="J7" s="1">
        <f>E7/$E$7</f>
        <v>1</v>
      </c>
    </row>
    <row r="8" spans="1:10">
      <c r="A8" s="3">
        <v>1</v>
      </c>
      <c r="B8" s="4">
        <v>896</v>
      </c>
      <c r="C8">
        <v>281.7</v>
      </c>
      <c r="D8" s="4">
        <v>2.305E+19</v>
      </c>
      <c r="E8" s="1">
        <v>8700</v>
      </c>
      <c r="F8" s="1">
        <v>2.9399999999999999E-2</v>
      </c>
      <c r="G8" s="1">
        <v>0.31</v>
      </c>
      <c r="H8" s="1">
        <v>0.14499999999999999</v>
      </c>
      <c r="I8" s="1">
        <v>1.7</v>
      </c>
      <c r="J8" s="1">
        <f t="shared" ref="J8:J56" si="0">E8/$E$7</f>
        <v>0.73109243697478987</v>
      </c>
    </row>
    <row r="9" spans="1:10">
      <c r="A9" s="3">
        <v>2</v>
      </c>
      <c r="B9" s="4">
        <v>792.9</v>
      </c>
      <c r="C9">
        <v>276.3</v>
      </c>
      <c r="D9" s="4">
        <v>2.08E+19</v>
      </c>
      <c r="E9" s="1">
        <v>6750</v>
      </c>
      <c r="F9" s="1">
        <v>3.3799999999999997E-2</v>
      </c>
      <c r="G9" s="1">
        <v>0.31</v>
      </c>
      <c r="H9" s="1">
        <v>0.14000000000000001</v>
      </c>
      <c r="I9" s="1">
        <v>1.7</v>
      </c>
      <c r="J9" s="1">
        <f t="shared" si="0"/>
        <v>0.5672268907563025</v>
      </c>
    </row>
    <row r="10" spans="1:10">
      <c r="A10" s="3">
        <v>3</v>
      </c>
      <c r="B10" s="4">
        <v>700</v>
      </c>
      <c r="C10">
        <v>270.89999999999998</v>
      </c>
      <c r="D10" s="4">
        <v>1.873E+19</v>
      </c>
      <c r="E10" s="1">
        <v>4620</v>
      </c>
      <c r="F10" s="1">
        <v>3.8899999999999997E-2</v>
      </c>
      <c r="G10" s="1">
        <v>0.31</v>
      </c>
      <c r="H10" s="1">
        <v>0.13500000000000001</v>
      </c>
      <c r="I10" s="1">
        <v>1.7</v>
      </c>
      <c r="J10" s="1">
        <f t="shared" si="0"/>
        <v>0.38823529411764707</v>
      </c>
    </row>
    <row r="11" spans="1:10">
      <c r="A11" s="3">
        <v>4</v>
      </c>
      <c r="B11" s="4">
        <v>616</v>
      </c>
      <c r="C11">
        <v>265.5</v>
      </c>
      <c r="D11" s="4">
        <v>1.682E+19</v>
      </c>
      <c r="E11" s="1">
        <v>3380</v>
      </c>
      <c r="F11" s="1">
        <v>4.48E-2</v>
      </c>
      <c r="G11" s="1">
        <v>0.308</v>
      </c>
      <c r="H11" s="1">
        <v>0.13100000000000001</v>
      </c>
      <c r="I11" s="1">
        <v>1.7</v>
      </c>
      <c r="J11" s="1">
        <f t="shared" si="0"/>
        <v>0.28403361344537814</v>
      </c>
    </row>
    <row r="12" spans="1:10">
      <c r="A12" s="3">
        <v>5</v>
      </c>
      <c r="B12" s="4">
        <v>541</v>
      </c>
      <c r="C12">
        <v>260.10000000000002</v>
      </c>
      <c r="D12" s="4">
        <v>1.508E+19</v>
      </c>
      <c r="E12" s="1">
        <v>2220</v>
      </c>
      <c r="F12" s="1">
        <v>5.33E-2</v>
      </c>
      <c r="G12" s="1">
        <v>0.30199999999999999</v>
      </c>
      <c r="H12" s="1">
        <v>0.13</v>
      </c>
      <c r="I12" s="1">
        <v>1.69</v>
      </c>
      <c r="J12" s="1">
        <f t="shared" si="0"/>
        <v>0.1865546218487395</v>
      </c>
    </row>
    <row r="13" spans="1:10">
      <c r="A13" s="3">
        <v>6</v>
      </c>
      <c r="B13" s="4">
        <v>474</v>
      </c>
      <c r="C13">
        <v>253.1</v>
      </c>
      <c r="D13" s="4">
        <v>1.357E+19</v>
      </c>
      <c r="E13" s="1">
        <v>1330</v>
      </c>
      <c r="F13" s="1">
        <v>6.5600000000000006E-2</v>
      </c>
      <c r="G13" s="1">
        <v>0.29099999999999998</v>
      </c>
      <c r="H13" s="1">
        <v>0.129</v>
      </c>
      <c r="I13" s="1">
        <v>1.67</v>
      </c>
      <c r="J13" s="1">
        <f t="shared" si="0"/>
        <v>0.11176470588235295</v>
      </c>
    </row>
    <row r="14" spans="1:10">
      <c r="A14" s="3">
        <v>7</v>
      </c>
      <c r="B14" s="4">
        <v>413</v>
      </c>
      <c r="C14">
        <v>246.1</v>
      </c>
      <c r="D14" s="4">
        <v>1.216E+19</v>
      </c>
      <c r="E14" s="1">
        <v>797</v>
      </c>
      <c r="F14" s="1">
        <v>7.7399999999999997E-2</v>
      </c>
      <c r="G14" s="1">
        <v>0.28199999999999997</v>
      </c>
      <c r="H14" s="1">
        <v>0.125</v>
      </c>
      <c r="I14" s="1">
        <v>1.65</v>
      </c>
      <c r="J14" s="1">
        <f t="shared" si="0"/>
        <v>6.6974789915966393E-2</v>
      </c>
    </row>
    <row r="15" spans="1:10">
      <c r="A15" s="3">
        <v>8</v>
      </c>
      <c r="B15" s="4">
        <v>359</v>
      </c>
      <c r="C15">
        <v>239.2</v>
      </c>
      <c r="D15" s="4">
        <v>1.088E+19</v>
      </c>
      <c r="E15" s="1">
        <v>400</v>
      </c>
      <c r="F15" s="1">
        <v>9.11E-2</v>
      </c>
      <c r="G15" s="1">
        <v>0.27600000000000002</v>
      </c>
      <c r="H15" s="1">
        <v>0.11899999999999999</v>
      </c>
      <c r="I15" s="1">
        <v>1.63</v>
      </c>
      <c r="J15" s="1">
        <f t="shared" si="0"/>
        <v>3.3613445378151259E-2</v>
      </c>
    </row>
    <row r="16" spans="1:10">
      <c r="A16" s="3">
        <v>9</v>
      </c>
      <c r="B16" s="4">
        <v>310.8</v>
      </c>
      <c r="C16">
        <v>232.2</v>
      </c>
      <c r="D16" s="4">
        <v>9.701E+18</v>
      </c>
      <c r="E16" s="1">
        <v>130</v>
      </c>
      <c r="F16" s="1">
        <v>0.14199999999999999</v>
      </c>
      <c r="G16" s="1">
        <v>0.27</v>
      </c>
      <c r="H16" s="1">
        <v>0.109</v>
      </c>
      <c r="I16" s="1">
        <v>1.62</v>
      </c>
      <c r="J16" s="1">
        <f t="shared" si="0"/>
        <v>1.0924369747899159E-2</v>
      </c>
    </row>
    <row r="17" spans="1:10">
      <c r="A17" s="3">
        <v>10</v>
      </c>
      <c r="B17" s="4">
        <v>267.7</v>
      </c>
      <c r="C17">
        <v>225.2</v>
      </c>
      <c r="D17" s="4">
        <v>8.616E+18</v>
      </c>
      <c r="E17" s="1">
        <v>42.4</v>
      </c>
      <c r="F17" s="1">
        <v>0.189</v>
      </c>
      <c r="G17" s="1">
        <v>0.26500000000000001</v>
      </c>
      <c r="H17" s="1">
        <v>9.9599999999999994E-2</v>
      </c>
      <c r="I17" s="1">
        <v>1.58</v>
      </c>
      <c r="J17" s="1">
        <f t="shared" si="0"/>
        <v>3.5630252100840335E-3</v>
      </c>
    </row>
    <row r="18" spans="1:10">
      <c r="A18" s="3">
        <v>11</v>
      </c>
      <c r="B18" s="4">
        <v>230</v>
      </c>
      <c r="C18">
        <v>225.2</v>
      </c>
      <c r="D18" s="4">
        <v>7.402E+18</v>
      </c>
      <c r="E18" s="1">
        <v>13.3</v>
      </c>
      <c r="F18" s="1">
        <v>0.30499999999999999</v>
      </c>
      <c r="G18" s="1">
        <v>0.26</v>
      </c>
      <c r="H18" s="1">
        <v>8.9599999999999999E-2</v>
      </c>
      <c r="I18" s="1">
        <v>1.54</v>
      </c>
      <c r="J18" s="1">
        <f t="shared" si="0"/>
        <v>1.1176470588235294E-3</v>
      </c>
    </row>
    <row r="19" spans="1:10">
      <c r="A19" s="3">
        <v>12</v>
      </c>
      <c r="B19" s="4">
        <v>197.7</v>
      </c>
      <c r="C19">
        <v>225.2</v>
      </c>
      <c r="D19" s="4">
        <v>6.363E+18</v>
      </c>
      <c r="E19" s="1">
        <v>6</v>
      </c>
      <c r="F19" s="1">
        <v>0.41</v>
      </c>
      <c r="G19" s="1">
        <v>0.255</v>
      </c>
      <c r="H19" s="1">
        <v>7.8100000000000003E-2</v>
      </c>
      <c r="I19" s="1">
        <v>1.51</v>
      </c>
      <c r="J19" s="1">
        <f t="shared" si="0"/>
        <v>5.0420168067226889E-4</v>
      </c>
    </row>
    <row r="20" spans="1:10">
      <c r="A20" s="3">
        <v>13</v>
      </c>
      <c r="B20" s="4">
        <v>170</v>
      </c>
      <c r="C20">
        <v>225.2</v>
      </c>
      <c r="D20" s="4">
        <v>5.471E+18</v>
      </c>
      <c r="E20" s="1">
        <v>4.45</v>
      </c>
      <c r="F20" s="1">
        <v>0.5</v>
      </c>
      <c r="G20" s="1">
        <v>0.249</v>
      </c>
      <c r="H20" s="1">
        <v>6.3700000000000007E-2</v>
      </c>
      <c r="I20" s="1">
        <v>1.47</v>
      </c>
      <c r="J20" s="1">
        <f t="shared" si="0"/>
        <v>3.7394957983193279E-4</v>
      </c>
    </row>
    <row r="21" spans="1:10">
      <c r="A21" s="3">
        <v>14</v>
      </c>
      <c r="B21" s="4">
        <v>146</v>
      </c>
      <c r="C21">
        <v>225.2</v>
      </c>
      <c r="D21" s="4">
        <v>4.699E+18</v>
      </c>
      <c r="E21" s="1">
        <v>4</v>
      </c>
      <c r="F21" s="1">
        <v>0.6</v>
      </c>
      <c r="G21" s="1">
        <v>0.24299999999999999</v>
      </c>
      <c r="H21" s="1">
        <v>5.0299999999999997E-2</v>
      </c>
      <c r="I21" s="1">
        <v>1.43</v>
      </c>
      <c r="J21" s="1">
        <f t="shared" si="0"/>
        <v>3.3613445378151261E-4</v>
      </c>
    </row>
    <row r="22" spans="1:10">
      <c r="A22" s="3">
        <v>15</v>
      </c>
      <c r="B22" s="4">
        <v>126</v>
      </c>
      <c r="C22">
        <v>225.2</v>
      </c>
      <c r="D22" s="4">
        <v>4.055E+18</v>
      </c>
      <c r="E22" s="1">
        <v>4</v>
      </c>
      <c r="F22" s="1">
        <v>0.7</v>
      </c>
      <c r="G22" s="1">
        <v>0.23599999999999999</v>
      </c>
      <c r="H22" s="1">
        <v>3.9399999999999998E-2</v>
      </c>
      <c r="I22" s="1">
        <v>1.39</v>
      </c>
      <c r="J22" s="1">
        <f t="shared" si="0"/>
        <v>3.3613445378151261E-4</v>
      </c>
    </row>
    <row r="23" spans="1:10">
      <c r="A23" s="3">
        <v>16</v>
      </c>
      <c r="B23" s="4">
        <v>108</v>
      </c>
      <c r="C23">
        <v>225.2</v>
      </c>
      <c r="D23" s="4">
        <v>3.476E+18</v>
      </c>
      <c r="E23" s="1">
        <v>4</v>
      </c>
      <c r="F23" s="1">
        <v>0.85</v>
      </c>
      <c r="G23" s="1">
        <v>0.22800000000000001</v>
      </c>
      <c r="H23" s="1">
        <v>3.0700000000000002E-2</v>
      </c>
      <c r="I23" s="1">
        <v>1.34</v>
      </c>
      <c r="J23" s="1">
        <f t="shared" si="0"/>
        <v>3.3613445378151261E-4</v>
      </c>
    </row>
    <row r="24" spans="1:10">
      <c r="A24" s="3">
        <v>17</v>
      </c>
      <c r="B24" s="4">
        <v>92.8</v>
      </c>
      <c r="C24">
        <v>225.2</v>
      </c>
      <c r="D24" s="4">
        <v>2.987E+18</v>
      </c>
      <c r="E24" s="1">
        <v>4.05</v>
      </c>
      <c r="F24" s="1">
        <v>1</v>
      </c>
      <c r="G24" s="1">
        <v>0.218</v>
      </c>
      <c r="H24" s="1">
        <v>2.4899999999999999E-2</v>
      </c>
      <c r="I24" s="1">
        <v>1.29</v>
      </c>
      <c r="J24" s="1">
        <f t="shared" si="0"/>
        <v>3.403361344537815E-4</v>
      </c>
    </row>
    <row r="25" spans="1:10">
      <c r="A25" s="3">
        <v>18</v>
      </c>
      <c r="B25" s="4">
        <v>79.8</v>
      </c>
      <c r="C25">
        <v>225.2</v>
      </c>
      <c r="D25" s="4">
        <v>2.568E+18</v>
      </c>
      <c r="E25" s="1">
        <v>4.3</v>
      </c>
      <c r="F25" s="1">
        <v>1.3</v>
      </c>
      <c r="G25" s="1">
        <v>0.20399999999999999</v>
      </c>
      <c r="H25" s="1">
        <v>1.9699999999999999E-2</v>
      </c>
      <c r="I25" s="1">
        <v>1.23</v>
      </c>
      <c r="J25" s="1">
        <f t="shared" si="0"/>
        <v>3.6134453781512603E-4</v>
      </c>
    </row>
    <row r="26" spans="1:10">
      <c r="A26" s="3">
        <v>19</v>
      </c>
      <c r="B26" s="4">
        <v>68.599999999999994</v>
      </c>
      <c r="C26">
        <v>225.2</v>
      </c>
      <c r="D26" s="4">
        <v>2.208E+18</v>
      </c>
      <c r="E26" s="1">
        <v>4.5</v>
      </c>
      <c r="F26" s="1">
        <v>1.7</v>
      </c>
      <c r="G26" s="1">
        <v>0.182</v>
      </c>
      <c r="H26" s="1">
        <v>1.55E-2</v>
      </c>
      <c r="I26" s="1">
        <v>1.1599999999999999</v>
      </c>
      <c r="J26" s="1">
        <f t="shared" si="0"/>
        <v>3.7815126050420167E-4</v>
      </c>
    </row>
    <row r="27" spans="1:10">
      <c r="A27" s="3">
        <v>20</v>
      </c>
      <c r="B27" s="4">
        <v>59</v>
      </c>
      <c r="C27">
        <v>225.2</v>
      </c>
      <c r="D27" s="4">
        <v>1.899E+18</v>
      </c>
      <c r="E27" s="1">
        <v>4.5999999999999996</v>
      </c>
      <c r="F27" s="1">
        <v>2.1</v>
      </c>
      <c r="G27" s="1">
        <v>0.157</v>
      </c>
      <c r="H27" s="1">
        <v>1.3299999999999999E-2</v>
      </c>
      <c r="I27" s="1">
        <v>1.07</v>
      </c>
      <c r="J27" s="1">
        <f t="shared" si="0"/>
        <v>3.8655462184873949E-4</v>
      </c>
    </row>
    <row r="28" spans="1:10">
      <c r="A28" s="3">
        <v>21</v>
      </c>
      <c r="B28" s="4">
        <v>50.7</v>
      </c>
      <c r="C28">
        <v>225.2</v>
      </c>
      <c r="D28" s="4">
        <v>1.632E+18</v>
      </c>
      <c r="E28" s="1">
        <v>4.7</v>
      </c>
      <c r="F28" s="1">
        <v>2.7</v>
      </c>
      <c r="G28" s="1">
        <v>0.13500000000000001</v>
      </c>
      <c r="H28" s="1">
        <v>1.23E-2</v>
      </c>
      <c r="I28" s="1">
        <v>0.99</v>
      </c>
      <c r="J28" s="1">
        <f t="shared" si="0"/>
        <v>3.9495798319327732E-4</v>
      </c>
    </row>
    <row r="29" spans="1:10">
      <c r="A29" s="3">
        <v>22</v>
      </c>
      <c r="B29" s="4">
        <v>43.6</v>
      </c>
      <c r="C29">
        <v>225.2</v>
      </c>
      <c r="D29" s="4">
        <v>1.403E+18</v>
      </c>
      <c r="E29" s="1">
        <v>4.8</v>
      </c>
      <c r="F29" s="1">
        <v>3.3</v>
      </c>
      <c r="G29" s="1">
        <v>0.122</v>
      </c>
      <c r="H29" s="1">
        <v>1.23E-2</v>
      </c>
      <c r="I29" s="1">
        <v>0.91700000000000004</v>
      </c>
      <c r="J29" s="1">
        <f t="shared" si="0"/>
        <v>4.0336134453781514E-4</v>
      </c>
    </row>
    <row r="30" spans="1:10">
      <c r="A30" s="3">
        <v>23</v>
      </c>
      <c r="B30" s="4">
        <v>37.5</v>
      </c>
      <c r="C30">
        <v>225.2</v>
      </c>
      <c r="D30" s="4">
        <v>1.207E+18</v>
      </c>
      <c r="E30" s="1">
        <v>4.83</v>
      </c>
      <c r="F30" s="1">
        <v>3.7</v>
      </c>
      <c r="G30" s="1">
        <v>0.11</v>
      </c>
      <c r="H30" s="1">
        <v>1.3100000000000001E-2</v>
      </c>
      <c r="I30" s="1">
        <v>0.85699999999999998</v>
      </c>
      <c r="J30" s="1">
        <f t="shared" si="0"/>
        <v>4.0588235294117649E-4</v>
      </c>
    </row>
    <row r="31" spans="1:10">
      <c r="A31" s="3">
        <v>24</v>
      </c>
      <c r="B31" s="4">
        <v>32.28</v>
      </c>
      <c r="C31">
        <v>226.6</v>
      </c>
      <c r="D31" s="4">
        <v>1.033E+18</v>
      </c>
      <c r="E31" s="1">
        <v>4.8499999999999996</v>
      </c>
      <c r="F31" s="1">
        <v>4.2</v>
      </c>
      <c r="G31" s="1">
        <v>9.8900000000000002E-2</v>
      </c>
      <c r="H31" s="1">
        <v>1.4E-2</v>
      </c>
      <c r="I31" s="1">
        <v>0.80100000000000005</v>
      </c>
      <c r="J31" s="1">
        <f t="shared" si="0"/>
        <v>4.0756302521008402E-4</v>
      </c>
    </row>
    <row r="32" spans="1:10">
      <c r="A32" s="3">
        <v>25</v>
      </c>
      <c r="B32" s="4">
        <v>27.8</v>
      </c>
      <c r="C32">
        <v>228.1</v>
      </c>
      <c r="D32" s="4">
        <v>8.834E+17</v>
      </c>
      <c r="E32" s="1">
        <v>4.9000000000000004</v>
      </c>
      <c r="F32" s="1">
        <v>4.5</v>
      </c>
      <c r="G32" s="1">
        <v>8.7800000000000003E-2</v>
      </c>
      <c r="H32" s="1">
        <v>1.5100000000000001E-2</v>
      </c>
      <c r="I32" s="1">
        <v>0.748</v>
      </c>
      <c r="J32" s="1">
        <f t="shared" si="0"/>
        <v>4.1176470588235296E-4</v>
      </c>
    </row>
    <row r="33" spans="1:10">
      <c r="A33" s="3">
        <v>27.5</v>
      </c>
      <c r="B33" s="4">
        <v>19.23</v>
      </c>
      <c r="C33">
        <v>231</v>
      </c>
      <c r="D33" s="4">
        <v>6.034E+17</v>
      </c>
      <c r="E33" s="1">
        <v>4.95</v>
      </c>
      <c r="F33" s="1">
        <v>5.3</v>
      </c>
      <c r="G33" s="1">
        <v>7.3300000000000004E-2</v>
      </c>
      <c r="H33" s="1">
        <v>1.6500000000000001E-2</v>
      </c>
      <c r="I33" s="1">
        <v>0.69599999999999995</v>
      </c>
      <c r="J33" s="1">
        <f t="shared" si="0"/>
        <v>4.1596638655462184E-4</v>
      </c>
    </row>
    <row r="34" spans="1:10">
      <c r="A34" s="3">
        <v>30</v>
      </c>
      <c r="B34" s="4">
        <v>13.4</v>
      </c>
      <c r="C34">
        <v>235.1</v>
      </c>
      <c r="D34" s="4">
        <v>4.131E+17</v>
      </c>
      <c r="E34" s="1">
        <v>5</v>
      </c>
      <c r="F34" s="1">
        <v>5.7</v>
      </c>
      <c r="G34" s="1">
        <v>5.9400000000000001E-2</v>
      </c>
      <c r="H34" s="1">
        <v>1.8100000000000002E-2</v>
      </c>
      <c r="I34" s="1">
        <v>0.64400000000000002</v>
      </c>
      <c r="J34" s="1">
        <f t="shared" si="0"/>
        <v>4.2016806722689078E-4</v>
      </c>
    </row>
    <row r="35" spans="1:10">
      <c r="A35" s="3">
        <v>32.5</v>
      </c>
      <c r="B35" s="4">
        <v>9.4</v>
      </c>
      <c r="C35">
        <v>240</v>
      </c>
      <c r="D35" s="4">
        <v>2.839E+17</v>
      </c>
      <c r="E35" s="1">
        <v>5</v>
      </c>
      <c r="F35" s="1">
        <v>6.9</v>
      </c>
      <c r="G35" s="1">
        <v>4.1500000000000002E-2</v>
      </c>
      <c r="H35" s="1">
        <v>0.02</v>
      </c>
      <c r="I35" s="1">
        <v>0.58899999999999997</v>
      </c>
      <c r="J35" s="1">
        <f t="shared" si="0"/>
        <v>4.2016806722689078E-4</v>
      </c>
    </row>
    <row r="36" spans="1:10">
      <c r="A36" s="3">
        <v>35</v>
      </c>
      <c r="B36" s="4">
        <v>6.61</v>
      </c>
      <c r="C36">
        <v>247.2</v>
      </c>
      <c r="D36" s="4">
        <v>1.938E+17</v>
      </c>
      <c r="E36" s="1">
        <v>5</v>
      </c>
      <c r="F36" s="1">
        <v>7.7</v>
      </c>
      <c r="G36" s="1">
        <v>3.0300000000000001E-2</v>
      </c>
      <c r="H36" s="1">
        <v>2.18E-2</v>
      </c>
      <c r="I36" s="1">
        <v>0.52400000000000002</v>
      </c>
      <c r="J36" s="1">
        <f t="shared" si="0"/>
        <v>4.2016806722689078E-4</v>
      </c>
    </row>
    <row r="37" spans="1:10">
      <c r="A37" s="3">
        <v>37.5</v>
      </c>
      <c r="B37" s="4">
        <v>4.72</v>
      </c>
      <c r="C37">
        <v>254.6</v>
      </c>
      <c r="D37" s="4">
        <v>1.344E+17</v>
      </c>
      <c r="E37" s="1">
        <v>5</v>
      </c>
      <c r="F37" s="1">
        <v>7.8</v>
      </c>
      <c r="G37" s="1">
        <v>1.95E-2</v>
      </c>
      <c r="H37" s="1">
        <v>2.3400000000000001E-2</v>
      </c>
      <c r="I37" s="1">
        <v>0.45100000000000001</v>
      </c>
      <c r="J37" s="1">
        <f t="shared" si="0"/>
        <v>4.2016806722689078E-4</v>
      </c>
    </row>
    <row r="38" spans="1:10">
      <c r="A38" s="3">
        <v>40</v>
      </c>
      <c r="B38" s="4">
        <v>3.4</v>
      </c>
      <c r="C38">
        <v>262.10000000000002</v>
      </c>
      <c r="D38" s="4">
        <v>9.402E+16</v>
      </c>
      <c r="E38" s="1">
        <v>5</v>
      </c>
      <c r="F38" s="1">
        <v>7</v>
      </c>
      <c r="G38" s="1">
        <v>1.2699999999999999E-2</v>
      </c>
      <c r="H38" s="1">
        <v>2.5999999999999999E-2</v>
      </c>
      <c r="I38" s="1">
        <v>0.371</v>
      </c>
      <c r="J38" s="1">
        <f t="shared" si="0"/>
        <v>4.2016806722689078E-4</v>
      </c>
    </row>
    <row r="39" spans="1:10">
      <c r="A39" s="3">
        <v>42.5</v>
      </c>
      <c r="B39" s="4">
        <v>2.48</v>
      </c>
      <c r="C39">
        <v>269.5</v>
      </c>
      <c r="D39" s="4">
        <v>6.67E+16</v>
      </c>
      <c r="E39" s="1">
        <v>5</v>
      </c>
      <c r="F39" s="1">
        <v>5.4</v>
      </c>
      <c r="G39" s="1">
        <v>8.9999999999999993E-3</v>
      </c>
      <c r="H39" s="1">
        <v>2.6499999999999999E-2</v>
      </c>
      <c r="I39" s="1">
        <v>0.29899999999999999</v>
      </c>
      <c r="J39" s="1">
        <f t="shared" si="0"/>
        <v>4.2016806722689078E-4</v>
      </c>
    </row>
    <row r="40" spans="1:10">
      <c r="A40" s="3">
        <v>45</v>
      </c>
      <c r="B40" s="4">
        <v>1.82</v>
      </c>
      <c r="C40">
        <v>273.8</v>
      </c>
      <c r="D40" s="4">
        <v>4.821E+16</v>
      </c>
      <c r="E40" s="1">
        <v>5</v>
      </c>
      <c r="F40" s="1">
        <v>4.2</v>
      </c>
      <c r="G40" s="1">
        <v>6.2899999999999996E-3</v>
      </c>
      <c r="H40" s="1">
        <v>2.81E-2</v>
      </c>
      <c r="I40" s="1">
        <v>0.245</v>
      </c>
      <c r="J40" s="1">
        <f t="shared" si="0"/>
        <v>4.2016806722689078E-4</v>
      </c>
    </row>
    <row r="41" spans="1:10">
      <c r="A41" s="3">
        <v>47.5</v>
      </c>
      <c r="B41" s="4">
        <v>1.34</v>
      </c>
      <c r="C41">
        <v>276.2</v>
      </c>
      <c r="D41" s="4">
        <v>3.516E+16</v>
      </c>
      <c r="E41" s="1">
        <v>5</v>
      </c>
      <c r="F41" s="1">
        <v>3.2</v>
      </c>
      <c r="G41" s="1">
        <v>4.5599999999999998E-3</v>
      </c>
      <c r="H41" s="1">
        <v>0.03</v>
      </c>
      <c r="I41" s="1">
        <v>0.2</v>
      </c>
      <c r="J41" s="1">
        <f t="shared" si="0"/>
        <v>4.2016806722689078E-4</v>
      </c>
    </row>
    <row r="42" spans="1:10">
      <c r="A42" s="3">
        <v>50</v>
      </c>
      <c r="B42" s="4">
        <v>0.98699999999999999</v>
      </c>
      <c r="C42">
        <v>277.2</v>
      </c>
      <c r="D42" s="4">
        <v>2.581E+16</v>
      </c>
      <c r="E42" s="1">
        <v>4.95</v>
      </c>
      <c r="F42" s="1">
        <v>2.5</v>
      </c>
      <c r="G42" s="1">
        <v>2.8E-3</v>
      </c>
      <c r="H42" s="1">
        <v>3.2199999999999999E-2</v>
      </c>
      <c r="I42" s="1">
        <v>0.16600000000000001</v>
      </c>
      <c r="J42" s="1">
        <f t="shared" si="0"/>
        <v>4.1596638655462184E-4</v>
      </c>
    </row>
    <row r="43" spans="1:10">
      <c r="A43" s="3">
        <v>55</v>
      </c>
      <c r="B43" s="4">
        <v>0.53700000000000003</v>
      </c>
      <c r="C43">
        <v>274</v>
      </c>
      <c r="D43" s="4">
        <v>1.421E+16</v>
      </c>
      <c r="E43" s="1">
        <v>4.8499999999999996</v>
      </c>
      <c r="F43" s="1">
        <v>1.7</v>
      </c>
      <c r="G43" s="1">
        <v>1.7700000000000001E-3</v>
      </c>
      <c r="H43" s="1">
        <v>3.6499999999999998E-2</v>
      </c>
      <c r="I43" s="1">
        <v>0.15</v>
      </c>
      <c r="J43" s="1">
        <f t="shared" si="0"/>
        <v>4.0756302521008402E-4</v>
      </c>
    </row>
    <row r="44" spans="1:10">
      <c r="A44" s="3">
        <v>60</v>
      </c>
      <c r="B44" s="4">
        <v>0.28799999999999998</v>
      </c>
      <c r="C44">
        <v>262.7</v>
      </c>
      <c r="D44" s="4">
        <v>7946000000000000</v>
      </c>
      <c r="E44" s="1">
        <v>4.5</v>
      </c>
      <c r="F44" s="1">
        <v>1.2</v>
      </c>
      <c r="G44" s="1">
        <v>1.2099999999999999E-3</v>
      </c>
      <c r="H44" s="1">
        <v>4.5900000000000003E-2</v>
      </c>
      <c r="I44" s="1">
        <v>0.15</v>
      </c>
      <c r="J44" s="1">
        <f t="shared" si="0"/>
        <v>3.7815126050420167E-4</v>
      </c>
    </row>
    <row r="45" spans="1:10">
      <c r="A45" s="3">
        <v>65</v>
      </c>
      <c r="B45" s="4">
        <v>0.14699999999999999</v>
      </c>
      <c r="C45">
        <v>239.7</v>
      </c>
      <c r="D45" s="4">
        <v>4445000000000000</v>
      </c>
      <c r="E45" s="1">
        <v>4</v>
      </c>
      <c r="F45" s="1">
        <v>0.8</v>
      </c>
      <c r="G45" s="1">
        <v>8.8699999999999998E-4</v>
      </c>
      <c r="H45" s="1">
        <v>6.3799999999999996E-2</v>
      </c>
      <c r="I45" s="1">
        <v>0.15</v>
      </c>
      <c r="J45" s="1">
        <f t="shared" si="0"/>
        <v>3.3613445378151261E-4</v>
      </c>
    </row>
    <row r="46" spans="1:10">
      <c r="A46" s="3">
        <v>70</v>
      </c>
      <c r="B46" s="4">
        <v>7.0999999999999994E-2</v>
      </c>
      <c r="C46">
        <v>216.6</v>
      </c>
      <c r="D46" s="4">
        <v>2376000000000000</v>
      </c>
      <c r="E46" s="1">
        <v>3.3</v>
      </c>
      <c r="F46" s="1">
        <v>0.4</v>
      </c>
      <c r="G46" s="1">
        <v>6.7599999999999995E-4</v>
      </c>
      <c r="H46" s="1">
        <v>0.11799999999999999</v>
      </c>
      <c r="I46" s="1">
        <v>0.15</v>
      </c>
      <c r="J46" s="1">
        <f t="shared" si="0"/>
        <v>2.7731092436974786E-4</v>
      </c>
    </row>
    <row r="47" spans="1:10">
      <c r="A47" s="3">
        <v>75</v>
      </c>
      <c r="B47" s="4">
        <v>3.2000000000000001E-2</v>
      </c>
      <c r="C47">
        <v>193.6</v>
      </c>
      <c r="D47" s="4">
        <v>1198000000000000</v>
      </c>
      <c r="E47" s="1">
        <v>2.7</v>
      </c>
      <c r="F47" s="1">
        <v>0.2</v>
      </c>
      <c r="G47" s="1">
        <v>5.5400000000000002E-4</v>
      </c>
      <c r="H47" s="1">
        <v>0.30299999999999999</v>
      </c>
      <c r="I47" s="1">
        <v>0.15</v>
      </c>
      <c r="J47" s="1">
        <f t="shared" si="0"/>
        <v>2.2689075630252103E-4</v>
      </c>
    </row>
    <row r="48" spans="1:10">
      <c r="A48" s="3">
        <v>80</v>
      </c>
      <c r="B48" s="4">
        <v>1.2500000000000001E-2</v>
      </c>
      <c r="C48">
        <v>170.6</v>
      </c>
      <c r="D48" s="4">
        <v>531100000000000</v>
      </c>
      <c r="E48" s="1">
        <v>2</v>
      </c>
      <c r="F48" s="1">
        <v>0.18</v>
      </c>
      <c r="G48" s="1">
        <v>4.6500000000000003E-4</v>
      </c>
      <c r="H48" s="1">
        <v>0.78900000000000003</v>
      </c>
      <c r="I48" s="1">
        <v>0.15</v>
      </c>
      <c r="J48" s="1">
        <f t="shared" si="0"/>
        <v>1.6806722689075631E-4</v>
      </c>
    </row>
    <row r="49" spans="1:10">
      <c r="A49" s="3">
        <v>85</v>
      </c>
      <c r="B49" s="4">
        <v>4.5100000000000001E-3</v>
      </c>
      <c r="C49">
        <v>161.69999999999999</v>
      </c>
      <c r="D49" s="4">
        <v>202200000000000</v>
      </c>
      <c r="E49" s="1">
        <v>1.33</v>
      </c>
      <c r="F49" s="1">
        <v>0.65</v>
      </c>
      <c r="G49" s="1">
        <v>3.9800000000000002E-4</v>
      </c>
      <c r="H49" s="1">
        <v>1.82</v>
      </c>
      <c r="I49" s="1">
        <v>0.15</v>
      </c>
      <c r="J49" s="1">
        <f t="shared" si="0"/>
        <v>1.1176470588235294E-4</v>
      </c>
    </row>
    <row r="50" spans="1:10">
      <c r="A50" s="3">
        <v>90</v>
      </c>
      <c r="B50" s="4">
        <v>1.6100000000000001E-3</v>
      </c>
      <c r="C50">
        <v>161.6</v>
      </c>
      <c r="D50" s="4">
        <v>72210000000000</v>
      </c>
      <c r="E50" s="1">
        <v>0.85</v>
      </c>
      <c r="F50" s="1">
        <v>0.9</v>
      </c>
      <c r="G50" s="1">
        <v>3.4600000000000001E-4</v>
      </c>
      <c r="H50" s="1">
        <v>3.4</v>
      </c>
      <c r="I50" s="1">
        <v>0.14000000000000001</v>
      </c>
      <c r="J50" s="1">
        <f t="shared" si="0"/>
        <v>7.142857142857142E-5</v>
      </c>
    </row>
    <row r="51" spans="1:10">
      <c r="A51" s="3">
        <v>95</v>
      </c>
      <c r="B51" s="4">
        <v>6.0599999999999998E-4</v>
      </c>
      <c r="C51">
        <v>176.8</v>
      </c>
      <c r="D51" s="4">
        <v>24840000000000</v>
      </c>
      <c r="E51" s="1">
        <v>0.54</v>
      </c>
      <c r="F51" s="1">
        <v>0.8</v>
      </c>
      <c r="G51" s="1">
        <v>3.0499999999999999E-4</v>
      </c>
      <c r="H51" s="1">
        <v>5.92</v>
      </c>
      <c r="I51" s="1">
        <v>0.13</v>
      </c>
      <c r="J51" s="1">
        <f t="shared" si="0"/>
        <v>4.5378151260504202E-5</v>
      </c>
    </row>
    <row r="52" spans="1:10">
      <c r="A52" s="3">
        <v>100</v>
      </c>
      <c r="B52" s="4">
        <v>2.4800000000000001E-4</v>
      </c>
      <c r="C52">
        <v>190.4</v>
      </c>
      <c r="D52" s="4">
        <v>9441000000000</v>
      </c>
      <c r="E52" s="1">
        <v>0.4</v>
      </c>
      <c r="F52" s="1">
        <v>0.4</v>
      </c>
      <c r="G52" s="1">
        <v>2.7099999999999997E-4</v>
      </c>
      <c r="H52" s="1">
        <v>10.4</v>
      </c>
      <c r="I52" s="1">
        <v>0.12</v>
      </c>
      <c r="J52" s="1">
        <f t="shared" si="0"/>
        <v>3.3613445378151261E-5</v>
      </c>
    </row>
    <row r="53" spans="1:10">
      <c r="A53" s="3">
        <v>105</v>
      </c>
      <c r="B53" s="4">
        <v>1.13E-4</v>
      </c>
      <c r="C53">
        <v>226</v>
      </c>
      <c r="D53" s="4">
        <v>3624000000000</v>
      </c>
      <c r="E53" s="1">
        <v>0.34</v>
      </c>
      <c r="F53" s="1">
        <v>0.2</v>
      </c>
      <c r="G53" s="1">
        <v>2.4399999999999999E-4</v>
      </c>
      <c r="H53" s="1">
        <v>18.8</v>
      </c>
      <c r="I53" s="1">
        <v>0.11</v>
      </c>
      <c r="J53" s="1">
        <f t="shared" si="0"/>
        <v>2.8571428571428574E-5</v>
      </c>
    </row>
    <row r="54" spans="1:10">
      <c r="A54" s="3">
        <v>110</v>
      </c>
      <c r="B54" s="4">
        <v>6.0000000000000002E-5</v>
      </c>
      <c r="C54">
        <v>270.10000000000002</v>
      </c>
      <c r="D54" s="4">
        <v>1610000000000</v>
      </c>
      <c r="E54" s="1">
        <v>0.28000000000000003</v>
      </c>
      <c r="F54" s="1">
        <v>0.05</v>
      </c>
      <c r="G54" s="1">
        <v>2.2100000000000001E-4</v>
      </c>
      <c r="H54" s="1">
        <v>28.7</v>
      </c>
      <c r="I54" s="1">
        <v>9.5000000000000001E-2</v>
      </c>
      <c r="J54" s="1">
        <f t="shared" si="0"/>
        <v>2.3529411764705884E-5</v>
      </c>
    </row>
    <row r="55" spans="1:10">
      <c r="A55" s="3">
        <v>115</v>
      </c>
      <c r="B55" s="4">
        <v>3.54E-5</v>
      </c>
      <c r="C55">
        <v>322.7</v>
      </c>
      <c r="D55" s="4">
        <v>795100000000</v>
      </c>
      <c r="E55" s="1">
        <v>0.24</v>
      </c>
      <c r="F55" s="1">
        <v>5.0000000000000001E-3</v>
      </c>
      <c r="G55" s="1">
        <v>2.02E-4</v>
      </c>
      <c r="H55" s="1">
        <v>38.9</v>
      </c>
      <c r="I55" s="1">
        <v>0.06</v>
      </c>
      <c r="J55" s="1">
        <f t="shared" si="0"/>
        <v>2.0168067226890756E-5</v>
      </c>
    </row>
    <row r="56" spans="1:10">
      <c r="A56" s="3">
        <v>120</v>
      </c>
      <c r="B56" s="4">
        <v>2.26E-5</v>
      </c>
      <c r="C56">
        <v>380</v>
      </c>
      <c r="D56" s="4">
        <v>431100000000</v>
      </c>
      <c r="E56" s="1">
        <v>0.2</v>
      </c>
      <c r="F56" s="1">
        <v>5.0000000000000001E-4</v>
      </c>
      <c r="G56" s="1">
        <v>1.85E-4</v>
      </c>
      <c r="H56" s="1">
        <v>50</v>
      </c>
      <c r="I56" s="1">
        <v>0.03</v>
      </c>
      <c r="J56" s="1">
        <f t="shared" si="0"/>
        <v>1.6806722689075631E-5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6"/>
  <sheetViews>
    <sheetView workbookViewId="0">
      <selection activeCell="J7" sqref="J7:J56"/>
    </sheetView>
  </sheetViews>
  <sheetFormatPr defaultRowHeight="14.4"/>
  <cols>
    <col min="1" max="1" width="9" style="3"/>
    <col min="2" max="2" width="12.44140625" style="4" customWidth="1"/>
    <col min="3" max="3" width="10.44140625" style="2" customWidth="1"/>
    <col min="4" max="4" width="11.6640625" style="4" bestFit="1" customWidth="1"/>
    <col min="5" max="5" width="10.77734375" customWidth="1"/>
    <col min="6" max="6" width="9.44140625" bestFit="1" customWidth="1"/>
    <col min="7" max="7" width="10.44140625" bestFit="1" customWidth="1"/>
    <col min="8" max="9" width="9.44140625" bestFit="1" customWidth="1"/>
  </cols>
  <sheetData>
    <row r="1" spans="1:10">
      <c r="A1" s="3" t="s">
        <v>24</v>
      </c>
      <c r="I1" s="1"/>
    </row>
    <row r="2" spans="1:10">
      <c r="A2" s="3" t="s">
        <v>23</v>
      </c>
      <c r="I2" s="1"/>
    </row>
    <row r="3" spans="1:10">
      <c r="I3" s="1"/>
    </row>
    <row r="4" spans="1:10">
      <c r="A4" s="3" t="s">
        <v>2</v>
      </c>
      <c r="B4" s="4" t="s">
        <v>3</v>
      </c>
      <c r="C4" s="2" t="s">
        <v>4</v>
      </c>
      <c r="D4" s="4" t="s">
        <v>5</v>
      </c>
      <c r="E4" s="6" t="s">
        <v>8</v>
      </c>
      <c r="F4" t="s">
        <v>9</v>
      </c>
      <c r="G4" t="s">
        <v>6</v>
      </c>
      <c r="H4" t="s">
        <v>10</v>
      </c>
      <c r="I4" s="1" t="s">
        <v>7</v>
      </c>
    </row>
    <row r="5" spans="1:10">
      <c r="A5" s="3" t="s">
        <v>11</v>
      </c>
      <c r="B5" s="4" t="s">
        <v>15</v>
      </c>
      <c r="C5" s="2" t="s">
        <v>12</v>
      </c>
      <c r="D5" s="4" t="s">
        <v>13</v>
      </c>
      <c r="E5" t="s">
        <v>20</v>
      </c>
      <c r="F5" t="s">
        <v>14</v>
      </c>
      <c r="G5" t="s">
        <v>14</v>
      </c>
      <c r="H5" t="s">
        <v>14</v>
      </c>
      <c r="I5" s="1" t="s">
        <v>14</v>
      </c>
    </row>
    <row r="7" spans="1:10">
      <c r="A7" s="3">
        <v>0</v>
      </c>
      <c r="B7" s="4">
        <v>1013</v>
      </c>
      <c r="C7" s="2">
        <v>257.2</v>
      </c>
      <c r="D7" s="4">
        <v>2.855E+19</v>
      </c>
      <c r="E7" s="1">
        <v>1410</v>
      </c>
      <c r="F7" s="1">
        <v>1.7999999999999999E-2</v>
      </c>
      <c r="G7" s="1">
        <v>0.32</v>
      </c>
      <c r="H7" s="1">
        <v>0.15</v>
      </c>
      <c r="I7" s="1">
        <v>1.7</v>
      </c>
      <c r="J7" s="1">
        <f>E7/$E$7</f>
        <v>1</v>
      </c>
    </row>
    <row r="8" spans="1:10">
      <c r="A8" s="3">
        <v>1</v>
      </c>
      <c r="B8" s="4">
        <v>887.8</v>
      </c>
      <c r="C8" s="2">
        <v>259.10000000000002</v>
      </c>
      <c r="D8" s="4">
        <v>2.484E+19</v>
      </c>
      <c r="E8" s="1">
        <v>1620</v>
      </c>
      <c r="F8" s="1">
        <v>2.07E-2</v>
      </c>
      <c r="G8" s="1">
        <v>0.32</v>
      </c>
      <c r="H8" s="1">
        <v>0.14499999999999999</v>
      </c>
      <c r="I8" s="1">
        <v>1.7</v>
      </c>
      <c r="J8" s="1">
        <f t="shared" ref="J8:J56" si="0">E8/$E$7</f>
        <v>1.1489361702127661</v>
      </c>
    </row>
    <row r="9" spans="1:10">
      <c r="A9" s="3">
        <v>2</v>
      </c>
      <c r="B9" s="4">
        <v>777.5</v>
      </c>
      <c r="C9" s="2">
        <v>255.9</v>
      </c>
      <c r="D9" s="4">
        <v>2.202E+19</v>
      </c>
      <c r="E9" s="1">
        <v>1430</v>
      </c>
      <c r="F9" s="1">
        <v>2.3400000000000001E-2</v>
      </c>
      <c r="G9" s="1">
        <v>0.32</v>
      </c>
      <c r="H9" s="1">
        <v>0.14000000000000001</v>
      </c>
      <c r="I9" s="1">
        <v>1.7</v>
      </c>
      <c r="J9" s="1">
        <f t="shared" si="0"/>
        <v>1.0141843971631206</v>
      </c>
    </row>
    <row r="10" spans="1:10">
      <c r="A10" s="3">
        <v>3</v>
      </c>
      <c r="B10" s="4">
        <v>679.8</v>
      </c>
      <c r="C10" s="2">
        <v>252.7</v>
      </c>
      <c r="D10" s="4">
        <v>1.95E+19</v>
      </c>
      <c r="E10" s="1">
        <v>1170</v>
      </c>
      <c r="F10" s="1">
        <v>2.7699999999999999E-2</v>
      </c>
      <c r="G10" s="1">
        <v>0.32</v>
      </c>
      <c r="H10" s="1">
        <v>0.13500000000000001</v>
      </c>
      <c r="I10" s="1">
        <v>1.7</v>
      </c>
      <c r="J10" s="1">
        <f t="shared" si="0"/>
        <v>0.82978723404255317</v>
      </c>
    </row>
    <row r="11" spans="1:10">
      <c r="A11" s="3">
        <v>4</v>
      </c>
      <c r="B11" s="4">
        <v>593.20000000000005</v>
      </c>
      <c r="C11" s="2">
        <v>247.7</v>
      </c>
      <c r="D11" s="4">
        <v>1.736E+19</v>
      </c>
      <c r="E11" s="1">
        <v>790</v>
      </c>
      <c r="F11" s="1">
        <v>3.2500000000000001E-2</v>
      </c>
      <c r="G11" s="1">
        <v>0.32</v>
      </c>
      <c r="H11" s="1">
        <v>0.13100000000000001</v>
      </c>
      <c r="I11" s="1">
        <v>1.7</v>
      </c>
      <c r="J11" s="1">
        <f t="shared" si="0"/>
        <v>0.56028368794326244</v>
      </c>
    </row>
    <row r="12" spans="1:10">
      <c r="A12" s="3">
        <v>5</v>
      </c>
      <c r="B12" s="4">
        <v>515.79999999999995</v>
      </c>
      <c r="C12" s="2">
        <v>240.9</v>
      </c>
      <c r="D12" s="4">
        <v>1.552E+19</v>
      </c>
      <c r="E12" s="1">
        <v>431</v>
      </c>
      <c r="F12" s="1">
        <v>3.7999999999999999E-2</v>
      </c>
      <c r="G12" s="1">
        <v>0.32</v>
      </c>
      <c r="H12" s="1">
        <v>0.13</v>
      </c>
      <c r="I12" s="1">
        <v>1.69</v>
      </c>
      <c r="J12" s="1">
        <f t="shared" si="0"/>
        <v>0.30567375886524822</v>
      </c>
    </row>
    <row r="13" spans="1:10">
      <c r="A13" s="3">
        <v>6</v>
      </c>
      <c r="B13" s="4">
        <v>446.7</v>
      </c>
      <c r="C13" s="2">
        <v>234.1</v>
      </c>
      <c r="D13" s="4">
        <v>1.383E+19</v>
      </c>
      <c r="E13" s="1">
        <v>270</v>
      </c>
      <c r="F13" s="1">
        <v>4.4499999999999998E-2</v>
      </c>
      <c r="G13" s="1">
        <v>0.32</v>
      </c>
      <c r="H13" s="1">
        <v>0.129</v>
      </c>
      <c r="I13" s="1">
        <v>1.67</v>
      </c>
      <c r="J13" s="1">
        <f t="shared" si="0"/>
        <v>0.19148936170212766</v>
      </c>
    </row>
    <row r="14" spans="1:10">
      <c r="A14" s="3">
        <v>7</v>
      </c>
      <c r="B14" s="4">
        <v>385.3</v>
      </c>
      <c r="C14" s="2">
        <v>227.3</v>
      </c>
      <c r="D14" s="4">
        <v>1.229E+19</v>
      </c>
      <c r="E14" s="1">
        <v>147</v>
      </c>
      <c r="F14" s="1">
        <v>7.2499999999999995E-2</v>
      </c>
      <c r="G14" s="1">
        <v>0.32</v>
      </c>
      <c r="H14" s="1">
        <v>0.125</v>
      </c>
      <c r="I14" s="1">
        <v>1.65</v>
      </c>
      <c r="J14" s="1">
        <f t="shared" si="0"/>
        <v>0.10425531914893617</v>
      </c>
    </row>
    <row r="15" spans="1:10">
      <c r="A15" s="3">
        <v>8</v>
      </c>
      <c r="B15" s="4">
        <v>330.8</v>
      </c>
      <c r="C15" s="2">
        <v>220.6</v>
      </c>
      <c r="D15" s="4">
        <v>1.087E+19</v>
      </c>
      <c r="E15" s="1">
        <v>33.799999999999997</v>
      </c>
      <c r="F15" s="1">
        <v>0.104</v>
      </c>
      <c r="G15" s="1">
        <v>0.32</v>
      </c>
      <c r="H15" s="1">
        <v>0.11899999999999999</v>
      </c>
      <c r="I15" s="1">
        <v>1.63</v>
      </c>
      <c r="J15" s="1">
        <f t="shared" si="0"/>
        <v>2.3971631205673756E-2</v>
      </c>
    </row>
    <row r="16" spans="1:10">
      <c r="A16" s="3">
        <v>9</v>
      </c>
      <c r="B16" s="4">
        <v>282.89999999999998</v>
      </c>
      <c r="C16" s="2">
        <v>217.2</v>
      </c>
      <c r="D16" s="4">
        <v>9.44E+18</v>
      </c>
      <c r="E16" s="1">
        <v>29.8</v>
      </c>
      <c r="F16" s="1">
        <v>0.21</v>
      </c>
      <c r="G16" s="1">
        <v>0.316</v>
      </c>
      <c r="H16" s="1">
        <v>0.109</v>
      </c>
      <c r="I16" s="1">
        <v>1.62</v>
      </c>
      <c r="J16" s="1">
        <f t="shared" si="0"/>
        <v>2.1134751773049645E-2</v>
      </c>
    </row>
    <row r="17" spans="1:10">
      <c r="A17" s="3">
        <v>10</v>
      </c>
      <c r="B17" s="4">
        <v>241.8</v>
      </c>
      <c r="C17" s="2">
        <v>217.2</v>
      </c>
      <c r="D17" s="4">
        <v>8.069E+18</v>
      </c>
      <c r="E17" s="1">
        <v>20</v>
      </c>
      <c r="F17" s="1">
        <v>0.3</v>
      </c>
      <c r="G17" s="1">
        <v>0.31</v>
      </c>
      <c r="H17" s="1">
        <v>9.9599999999999994E-2</v>
      </c>
      <c r="I17" s="1">
        <v>1.58</v>
      </c>
      <c r="J17" s="1">
        <f t="shared" si="0"/>
        <v>1.4184397163120567E-2</v>
      </c>
    </row>
    <row r="18" spans="1:10">
      <c r="A18" s="3">
        <v>11</v>
      </c>
      <c r="B18" s="4">
        <v>206.7</v>
      </c>
      <c r="C18" s="2">
        <v>217.2</v>
      </c>
      <c r="D18" s="4">
        <v>6.898E+18</v>
      </c>
      <c r="E18" s="1">
        <v>10</v>
      </c>
      <c r="F18" s="1">
        <v>0.35</v>
      </c>
      <c r="G18" s="1">
        <v>0.29899999999999999</v>
      </c>
      <c r="H18" s="1">
        <v>8.9599999999999999E-2</v>
      </c>
      <c r="I18" s="1">
        <v>1.54</v>
      </c>
      <c r="J18" s="1">
        <f t="shared" si="0"/>
        <v>7.0921985815602835E-3</v>
      </c>
    </row>
    <row r="19" spans="1:10">
      <c r="A19" s="3">
        <v>12</v>
      </c>
      <c r="B19" s="4">
        <v>176.6</v>
      </c>
      <c r="C19" s="2">
        <v>217.2</v>
      </c>
      <c r="D19" s="4">
        <v>5.893E+18</v>
      </c>
      <c r="E19" s="1">
        <v>6</v>
      </c>
      <c r="F19" s="1">
        <v>0.4</v>
      </c>
      <c r="G19" s="1">
        <v>0.29399999999999998</v>
      </c>
      <c r="H19" s="1">
        <v>7.8100000000000003E-2</v>
      </c>
      <c r="I19" s="1">
        <v>1.51</v>
      </c>
      <c r="J19" s="1">
        <f t="shared" si="0"/>
        <v>4.2553191489361703E-3</v>
      </c>
    </row>
    <row r="20" spans="1:10">
      <c r="A20" s="3">
        <v>13</v>
      </c>
      <c r="B20" s="4">
        <v>151</v>
      </c>
      <c r="C20" s="2">
        <v>217.2</v>
      </c>
      <c r="D20" s="4">
        <v>5.039E+18</v>
      </c>
      <c r="E20" s="1">
        <v>4.45</v>
      </c>
      <c r="F20" s="1">
        <v>0.65</v>
      </c>
      <c r="G20" s="1">
        <v>0.28599999999999998</v>
      </c>
      <c r="H20" s="1">
        <v>6.3700000000000007E-2</v>
      </c>
      <c r="I20" s="1">
        <v>1.47</v>
      </c>
      <c r="J20" s="1">
        <f t="shared" si="0"/>
        <v>3.1560283687943262E-3</v>
      </c>
    </row>
    <row r="21" spans="1:10">
      <c r="A21" s="3">
        <v>14</v>
      </c>
      <c r="B21" s="4">
        <v>129.1</v>
      </c>
      <c r="C21" s="2">
        <v>217.2</v>
      </c>
      <c r="D21" s="4">
        <v>4.308E+18</v>
      </c>
      <c r="E21" s="1">
        <v>4.5</v>
      </c>
      <c r="F21" s="1">
        <v>0.9</v>
      </c>
      <c r="G21" s="1">
        <v>0.28000000000000003</v>
      </c>
      <c r="H21" s="1">
        <v>5.0299999999999997E-2</v>
      </c>
      <c r="I21" s="1">
        <v>1.43</v>
      </c>
      <c r="J21" s="1">
        <f t="shared" si="0"/>
        <v>3.1914893617021275E-3</v>
      </c>
    </row>
    <row r="22" spans="1:10">
      <c r="A22" s="3">
        <v>15</v>
      </c>
      <c r="B22" s="4">
        <v>110.3</v>
      </c>
      <c r="C22" s="2">
        <v>217.2</v>
      </c>
      <c r="D22" s="4">
        <v>3.681E+18</v>
      </c>
      <c r="E22" s="1">
        <v>4.55</v>
      </c>
      <c r="F22" s="1">
        <v>1.2</v>
      </c>
      <c r="G22" s="1">
        <v>0.27200000000000002</v>
      </c>
      <c r="H22" s="1">
        <v>3.9399999999999998E-2</v>
      </c>
      <c r="I22" s="1">
        <v>1.39</v>
      </c>
      <c r="J22" s="1">
        <f t="shared" si="0"/>
        <v>3.2269503546099288E-3</v>
      </c>
    </row>
    <row r="23" spans="1:10">
      <c r="A23" s="3">
        <v>16</v>
      </c>
      <c r="B23" s="4">
        <v>94.31</v>
      </c>
      <c r="C23" s="2">
        <v>216.6</v>
      </c>
      <c r="D23" s="4">
        <v>3.156E+18</v>
      </c>
      <c r="E23" s="1">
        <v>4.5999999999999996</v>
      </c>
      <c r="F23" s="1">
        <v>1.5</v>
      </c>
      <c r="G23" s="1">
        <v>0.26100000000000001</v>
      </c>
      <c r="H23" s="1">
        <v>3.0700000000000002E-2</v>
      </c>
      <c r="I23" s="1">
        <v>1.34</v>
      </c>
      <c r="J23" s="1">
        <f t="shared" si="0"/>
        <v>3.2624113475177301E-3</v>
      </c>
    </row>
    <row r="24" spans="1:10">
      <c r="A24" s="3">
        <v>17</v>
      </c>
      <c r="B24" s="4">
        <v>80.58</v>
      </c>
      <c r="C24" s="2">
        <v>216</v>
      </c>
      <c r="D24" s="4">
        <v>2.704E+18</v>
      </c>
      <c r="E24" s="1">
        <v>4.6500000000000004</v>
      </c>
      <c r="F24" s="1">
        <v>1.9</v>
      </c>
      <c r="G24" s="1">
        <v>0.24199999999999999</v>
      </c>
      <c r="H24" s="1">
        <v>2.4899999999999999E-2</v>
      </c>
      <c r="I24" s="1">
        <v>1.29</v>
      </c>
      <c r="J24" s="1">
        <f t="shared" si="0"/>
        <v>3.2978723404255323E-3</v>
      </c>
    </row>
    <row r="25" spans="1:10">
      <c r="A25" s="3">
        <v>18</v>
      </c>
      <c r="B25" s="4">
        <v>68.819999999999993</v>
      </c>
      <c r="C25" s="2">
        <v>215.4</v>
      </c>
      <c r="D25" s="4">
        <v>2.316E+18</v>
      </c>
      <c r="E25" s="1">
        <v>4.7</v>
      </c>
      <c r="F25" s="1">
        <v>2.4500000000000002</v>
      </c>
      <c r="G25" s="1">
        <v>0.217</v>
      </c>
      <c r="H25" s="1">
        <v>1.9699999999999999E-2</v>
      </c>
      <c r="I25" s="1">
        <v>1.23</v>
      </c>
      <c r="J25" s="1">
        <f t="shared" si="0"/>
        <v>3.3333333333333335E-3</v>
      </c>
    </row>
    <row r="26" spans="1:10">
      <c r="A26" s="3">
        <v>19</v>
      </c>
      <c r="B26" s="4">
        <v>58.75</v>
      </c>
      <c r="C26" s="2">
        <v>214.8</v>
      </c>
      <c r="D26" s="4">
        <v>1.982E+18</v>
      </c>
      <c r="E26" s="1">
        <v>4.75</v>
      </c>
      <c r="F26" s="1">
        <v>3.1</v>
      </c>
      <c r="G26" s="1">
        <v>0.184</v>
      </c>
      <c r="H26" s="1">
        <v>1.55E-2</v>
      </c>
      <c r="I26" s="1">
        <v>1.1599999999999999</v>
      </c>
      <c r="J26" s="1">
        <f t="shared" si="0"/>
        <v>3.3687943262411348E-3</v>
      </c>
    </row>
    <row r="27" spans="1:10">
      <c r="A27" s="3">
        <v>20</v>
      </c>
      <c r="B27" s="4">
        <v>50.14</v>
      </c>
      <c r="C27" s="2">
        <v>214.2</v>
      </c>
      <c r="D27" s="4">
        <v>1.697E+18</v>
      </c>
      <c r="E27" s="1">
        <v>4.8</v>
      </c>
      <c r="F27" s="1">
        <v>3.7</v>
      </c>
      <c r="G27" s="1">
        <v>0.16200000000000001</v>
      </c>
      <c r="H27" s="1">
        <v>1.3299999999999999E-2</v>
      </c>
      <c r="I27" s="1">
        <v>1.08</v>
      </c>
      <c r="J27" s="1">
        <f t="shared" si="0"/>
        <v>3.4042553191489361E-3</v>
      </c>
    </row>
    <row r="28" spans="1:10">
      <c r="A28" s="3">
        <v>21</v>
      </c>
      <c r="B28" s="4">
        <v>42.77</v>
      </c>
      <c r="C28" s="2">
        <v>213.6</v>
      </c>
      <c r="D28" s="4">
        <v>1.451E+18</v>
      </c>
      <c r="E28" s="1">
        <v>4.8499999999999996</v>
      </c>
      <c r="F28" s="1">
        <v>4</v>
      </c>
      <c r="G28" s="1">
        <v>0.13600000000000001</v>
      </c>
      <c r="H28" s="1">
        <v>1.23E-2</v>
      </c>
      <c r="I28" s="1">
        <v>1.01</v>
      </c>
      <c r="J28" s="1">
        <f t="shared" si="0"/>
        <v>3.4397163120567374E-3</v>
      </c>
    </row>
    <row r="29" spans="1:10">
      <c r="A29" s="3">
        <v>22</v>
      </c>
      <c r="B29" s="4">
        <v>36.47</v>
      </c>
      <c r="C29" s="2">
        <v>213</v>
      </c>
      <c r="D29" s="4">
        <v>1.241E+18</v>
      </c>
      <c r="E29" s="1">
        <v>4.9000000000000004</v>
      </c>
      <c r="F29" s="1">
        <v>4.2</v>
      </c>
      <c r="G29" s="1">
        <v>0.123</v>
      </c>
      <c r="H29" s="1">
        <v>1.23E-2</v>
      </c>
      <c r="I29" s="1">
        <v>0.95599999999999996</v>
      </c>
      <c r="J29" s="1">
        <f t="shared" si="0"/>
        <v>3.4751773049645392E-3</v>
      </c>
    </row>
    <row r="30" spans="1:10">
      <c r="A30" s="3">
        <v>23</v>
      </c>
      <c r="B30" s="4">
        <v>31.09</v>
      </c>
      <c r="C30" s="2">
        <v>212.4</v>
      </c>
      <c r="D30" s="4">
        <v>1.061E+18</v>
      </c>
      <c r="E30" s="1">
        <v>4.96</v>
      </c>
      <c r="F30" s="1">
        <v>4.5</v>
      </c>
      <c r="G30" s="1">
        <v>0.112</v>
      </c>
      <c r="H30" s="1">
        <v>1.3100000000000001E-2</v>
      </c>
      <c r="I30" s="1">
        <v>0.90100000000000002</v>
      </c>
      <c r="J30" s="1">
        <f t="shared" si="0"/>
        <v>3.5177304964539007E-3</v>
      </c>
    </row>
    <row r="31" spans="1:10">
      <c r="A31" s="3">
        <v>24</v>
      </c>
      <c r="B31" s="4">
        <v>26.49</v>
      </c>
      <c r="C31" s="2">
        <v>211.8</v>
      </c>
      <c r="D31" s="4">
        <v>9.065E+17</v>
      </c>
      <c r="E31" s="1">
        <v>5</v>
      </c>
      <c r="F31" s="1">
        <v>4.5999999999999996</v>
      </c>
      <c r="G31" s="1">
        <v>0.104</v>
      </c>
      <c r="H31" s="1">
        <v>1.4E-2</v>
      </c>
      <c r="I31" s="1">
        <v>0.84799999999999998</v>
      </c>
      <c r="J31" s="1">
        <f t="shared" si="0"/>
        <v>3.5460992907801418E-3</v>
      </c>
    </row>
    <row r="32" spans="1:10">
      <c r="A32" s="3">
        <v>25</v>
      </c>
      <c r="B32" s="4">
        <v>22.56</v>
      </c>
      <c r="C32" s="2">
        <v>211.2</v>
      </c>
      <c r="D32" s="4">
        <v>7.742E+17</v>
      </c>
      <c r="E32" s="1">
        <v>5</v>
      </c>
      <c r="F32" s="1">
        <v>4.7</v>
      </c>
      <c r="G32" s="1">
        <v>9.5699999999999993E-2</v>
      </c>
      <c r="H32" s="1">
        <v>1.52E-2</v>
      </c>
      <c r="I32" s="1">
        <v>0.79600000000000004</v>
      </c>
      <c r="J32" s="1">
        <f t="shared" si="0"/>
        <v>3.5460992907801418E-3</v>
      </c>
    </row>
    <row r="33" spans="1:10">
      <c r="A33" s="3">
        <v>27.5</v>
      </c>
      <c r="B33" s="4">
        <v>15.13</v>
      </c>
      <c r="C33" s="2">
        <v>213.6</v>
      </c>
      <c r="D33" s="4">
        <v>5.134E+17</v>
      </c>
      <c r="E33" s="1">
        <v>5</v>
      </c>
      <c r="F33" s="1">
        <v>4.9000000000000004</v>
      </c>
      <c r="G33" s="1">
        <v>8.5999999999999993E-2</v>
      </c>
      <c r="H33" s="1">
        <v>1.72E-2</v>
      </c>
      <c r="I33" s="1">
        <v>0.745</v>
      </c>
      <c r="J33" s="1">
        <f t="shared" si="0"/>
        <v>3.5460992907801418E-3</v>
      </c>
    </row>
    <row r="34" spans="1:10">
      <c r="A34" s="3">
        <v>30</v>
      </c>
      <c r="B34" s="4">
        <v>10.199999999999999</v>
      </c>
      <c r="C34" s="2">
        <v>216</v>
      </c>
      <c r="D34" s="4">
        <v>3.423E+17</v>
      </c>
      <c r="E34" s="1">
        <v>5</v>
      </c>
      <c r="F34" s="1">
        <v>5.4</v>
      </c>
      <c r="G34" s="1">
        <v>7.3099999999999998E-2</v>
      </c>
      <c r="H34" s="1">
        <v>2.0400000000000001E-2</v>
      </c>
      <c r="I34" s="1">
        <v>0.69399999999999995</v>
      </c>
      <c r="J34" s="1">
        <f t="shared" si="0"/>
        <v>3.5460992907801418E-3</v>
      </c>
    </row>
    <row r="35" spans="1:10">
      <c r="A35" s="3">
        <v>32.5</v>
      </c>
      <c r="B35" s="4">
        <v>6.91</v>
      </c>
      <c r="C35" s="2">
        <v>218.5</v>
      </c>
      <c r="D35" s="4">
        <v>2.292E+17</v>
      </c>
      <c r="E35" s="1">
        <v>5</v>
      </c>
      <c r="F35" s="1">
        <v>5.9</v>
      </c>
      <c r="G35" s="1">
        <v>5.7099999999999998E-2</v>
      </c>
      <c r="H35" s="1">
        <v>2.4899999999999999E-2</v>
      </c>
      <c r="I35" s="1">
        <v>0.64300000000000002</v>
      </c>
      <c r="J35" s="1">
        <f t="shared" si="0"/>
        <v>3.5460992907801418E-3</v>
      </c>
    </row>
    <row r="36" spans="1:10">
      <c r="A36" s="3">
        <v>35</v>
      </c>
      <c r="B36" s="4">
        <v>4.7009999999999996</v>
      </c>
      <c r="C36" s="2">
        <v>222.3</v>
      </c>
      <c r="D36" s="4">
        <v>1.533E+17</v>
      </c>
      <c r="E36" s="1">
        <v>5</v>
      </c>
      <c r="F36" s="1">
        <v>6.2</v>
      </c>
      <c r="G36" s="1">
        <v>4.6699999999999998E-2</v>
      </c>
      <c r="H36" s="1">
        <v>3.1699999999999999E-2</v>
      </c>
      <c r="I36" s="1">
        <v>0.58799999999999997</v>
      </c>
      <c r="J36" s="1">
        <f t="shared" si="0"/>
        <v>3.5460992907801418E-3</v>
      </c>
    </row>
    <row r="37" spans="1:10">
      <c r="A37" s="3">
        <v>37.5</v>
      </c>
      <c r="B37" s="4">
        <v>3.23</v>
      </c>
      <c r="C37" s="2">
        <v>228.5</v>
      </c>
      <c r="D37" s="4">
        <v>1.0255E+17</v>
      </c>
      <c r="E37" s="1">
        <v>5</v>
      </c>
      <c r="F37" s="1">
        <v>6.25</v>
      </c>
      <c r="G37" s="1">
        <v>3.44E-2</v>
      </c>
      <c r="H37" s="1">
        <v>4.4299999999999999E-2</v>
      </c>
      <c r="I37" s="1">
        <v>0.52400000000000002</v>
      </c>
      <c r="J37" s="1">
        <f t="shared" si="0"/>
        <v>3.5460992907801418E-3</v>
      </c>
    </row>
    <row r="38" spans="1:10">
      <c r="A38" s="3">
        <v>40</v>
      </c>
      <c r="B38" s="4">
        <v>2.2429999999999999</v>
      </c>
      <c r="C38" s="2">
        <v>234.7</v>
      </c>
      <c r="D38" s="4">
        <v>6.927E+16</v>
      </c>
      <c r="E38" s="1">
        <v>5</v>
      </c>
      <c r="F38" s="1">
        <v>5.9</v>
      </c>
      <c r="G38" s="1">
        <v>2.47E-2</v>
      </c>
      <c r="H38" s="1">
        <v>6.4699999999999994E-2</v>
      </c>
      <c r="I38" s="1">
        <v>0.45100000000000001</v>
      </c>
      <c r="J38" s="1">
        <f t="shared" si="0"/>
        <v>3.5460992907801418E-3</v>
      </c>
    </row>
    <row r="39" spans="1:10">
      <c r="A39" s="3">
        <v>42.5</v>
      </c>
      <c r="B39" s="4">
        <v>1.57</v>
      </c>
      <c r="C39" s="2">
        <v>240.8</v>
      </c>
      <c r="D39" s="4">
        <v>4.726E+16</v>
      </c>
      <c r="E39" s="1">
        <v>5</v>
      </c>
      <c r="F39" s="1">
        <v>5.0999999999999996</v>
      </c>
      <c r="G39" s="1">
        <v>1.6299999999999999E-2</v>
      </c>
      <c r="H39" s="1">
        <v>0.104</v>
      </c>
      <c r="I39" s="1">
        <v>0.371</v>
      </c>
      <c r="J39" s="1">
        <f t="shared" si="0"/>
        <v>3.5460992907801418E-3</v>
      </c>
    </row>
    <row r="40" spans="1:10">
      <c r="A40" s="3">
        <v>45</v>
      </c>
      <c r="B40" s="4">
        <v>1.113</v>
      </c>
      <c r="C40" s="2">
        <v>247</v>
      </c>
      <c r="D40" s="4">
        <v>3.266E+16</v>
      </c>
      <c r="E40" s="1">
        <v>5.0010000000000003</v>
      </c>
      <c r="F40" s="1">
        <v>4.0999999999999996</v>
      </c>
      <c r="G40" s="1">
        <v>1.0699999999999999E-2</v>
      </c>
      <c r="H40" s="1">
        <v>0.151</v>
      </c>
      <c r="I40" s="1">
        <v>0.3</v>
      </c>
      <c r="J40" s="1">
        <f t="shared" si="0"/>
        <v>3.546808510638298E-3</v>
      </c>
    </row>
    <row r="41" spans="1:10">
      <c r="A41" s="3">
        <v>47.5</v>
      </c>
      <c r="B41" s="4">
        <v>0.79</v>
      </c>
      <c r="C41" s="2">
        <v>253.2</v>
      </c>
      <c r="D41" s="4">
        <v>2.261E+16</v>
      </c>
      <c r="E41" s="1">
        <v>5</v>
      </c>
      <c r="F41" s="1">
        <v>3</v>
      </c>
      <c r="G41" s="1">
        <v>7.0600000000000003E-3</v>
      </c>
      <c r="H41" s="1">
        <v>0.216</v>
      </c>
      <c r="I41" s="1">
        <v>0.245</v>
      </c>
      <c r="J41" s="1">
        <f t="shared" si="0"/>
        <v>3.5460992907801418E-3</v>
      </c>
    </row>
    <row r="42" spans="1:10">
      <c r="A42" s="3">
        <v>50</v>
      </c>
      <c r="B42" s="4">
        <v>0.57189999999999996</v>
      </c>
      <c r="C42" s="2">
        <v>259.3</v>
      </c>
      <c r="D42" s="4">
        <v>1.599E+16</v>
      </c>
      <c r="E42" s="1">
        <v>4.95</v>
      </c>
      <c r="F42" s="1">
        <v>2.6</v>
      </c>
      <c r="G42" s="1">
        <v>3.9699999999999996E-3</v>
      </c>
      <c r="H42" s="1">
        <v>0.314</v>
      </c>
      <c r="I42" s="1">
        <v>0.19800000000000001</v>
      </c>
      <c r="J42" s="1">
        <f t="shared" si="0"/>
        <v>3.5106382978723405E-3</v>
      </c>
    </row>
    <row r="43" spans="1:10">
      <c r="A43" s="3">
        <v>55</v>
      </c>
      <c r="B43" s="4">
        <v>0.29899999999999999</v>
      </c>
      <c r="C43" s="2">
        <v>259.10000000000002</v>
      </c>
      <c r="D43" s="4">
        <v>8364000000000000</v>
      </c>
      <c r="E43" s="1">
        <v>4.8499999999999996</v>
      </c>
      <c r="F43" s="1">
        <v>1.6</v>
      </c>
      <c r="G43" s="1">
        <v>2.5100000000000001E-3</v>
      </c>
      <c r="H43" s="1">
        <v>0.48399999999999999</v>
      </c>
      <c r="I43" s="1">
        <v>0.159</v>
      </c>
      <c r="J43" s="1">
        <f t="shared" si="0"/>
        <v>3.4397163120567374E-3</v>
      </c>
    </row>
    <row r="44" spans="1:10">
      <c r="A44" s="3">
        <v>60</v>
      </c>
      <c r="B44" s="4">
        <v>0.155</v>
      </c>
      <c r="C44" s="2">
        <v>250.9</v>
      </c>
      <c r="D44" s="4">
        <v>4478000000000000</v>
      </c>
      <c r="E44" s="1">
        <v>4.5</v>
      </c>
      <c r="F44" s="1">
        <v>0.95</v>
      </c>
      <c r="G44" s="1">
        <v>1.73E-3</v>
      </c>
      <c r="H44" s="1">
        <v>0.71499999999999997</v>
      </c>
      <c r="I44" s="1">
        <v>0.15</v>
      </c>
      <c r="J44" s="1">
        <f t="shared" si="0"/>
        <v>3.1914893617021275E-3</v>
      </c>
    </row>
    <row r="45" spans="1:10">
      <c r="A45" s="3">
        <v>65</v>
      </c>
      <c r="B45" s="4">
        <v>7.9000000000000001E-2</v>
      </c>
      <c r="C45" s="2">
        <v>248.4</v>
      </c>
      <c r="D45" s="4">
        <v>2305000000000000</v>
      </c>
      <c r="E45" s="1">
        <v>4</v>
      </c>
      <c r="F45" s="1">
        <v>0.65</v>
      </c>
      <c r="G45" s="1">
        <v>1.2600000000000001E-3</v>
      </c>
      <c r="H45" s="1">
        <v>1.07</v>
      </c>
      <c r="I45" s="1">
        <v>0.15</v>
      </c>
      <c r="J45" s="1">
        <f t="shared" si="0"/>
        <v>2.8368794326241137E-3</v>
      </c>
    </row>
    <row r="46" spans="1:10">
      <c r="A46" s="3">
        <v>70</v>
      </c>
      <c r="B46" s="4">
        <v>0.04</v>
      </c>
      <c r="C46" s="2">
        <v>245.4</v>
      </c>
      <c r="D46" s="4">
        <v>1181000000000000</v>
      </c>
      <c r="E46" s="1">
        <v>3.3</v>
      </c>
      <c r="F46" s="1">
        <v>0.5</v>
      </c>
      <c r="G46" s="1">
        <v>9.6000000000000002E-4</v>
      </c>
      <c r="H46" s="1">
        <v>1.52</v>
      </c>
      <c r="I46" s="1">
        <v>0.15</v>
      </c>
      <c r="J46" s="1">
        <f t="shared" si="0"/>
        <v>2.3404255319148934E-3</v>
      </c>
    </row>
    <row r="47" spans="1:10">
      <c r="A47" s="3">
        <v>75</v>
      </c>
      <c r="B47" s="4">
        <v>0.02</v>
      </c>
      <c r="C47" s="2">
        <v>234.7</v>
      </c>
      <c r="D47" s="4">
        <v>617600000000000</v>
      </c>
      <c r="E47" s="1">
        <v>2.7</v>
      </c>
      <c r="F47" s="1">
        <v>0.33</v>
      </c>
      <c r="G47" s="1">
        <v>7.5500000000000003E-4</v>
      </c>
      <c r="H47" s="1">
        <v>2.17</v>
      </c>
      <c r="I47" s="1">
        <v>0.15</v>
      </c>
      <c r="J47" s="1">
        <f t="shared" si="0"/>
        <v>1.9148936170212767E-3</v>
      </c>
    </row>
    <row r="48" spans="1:10">
      <c r="A48" s="3">
        <v>80</v>
      </c>
      <c r="B48" s="4">
        <v>9.6600000000000002E-3</v>
      </c>
      <c r="C48" s="2">
        <v>223.9</v>
      </c>
      <c r="D48" s="4">
        <v>312700000000000</v>
      </c>
      <c r="E48" s="1">
        <v>2</v>
      </c>
      <c r="F48" s="1">
        <v>0.13</v>
      </c>
      <c r="G48" s="1">
        <v>6.0999999999999997E-4</v>
      </c>
      <c r="H48" s="1">
        <v>3.06</v>
      </c>
      <c r="I48" s="1">
        <v>0.15</v>
      </c>
      <c r="J48" s="1">
        <f t="shared" si="0"/>
        <v>1.4184397163120568E-3</v>
      </c>
    </row>
    <row r="49" spans="1:10">
      <c r="A49" s="3">
        <v>85</v>
      </c>
      <c r="B49" s="4">
        <v>4.4999999999999997E-3</v>
      </c>
      <c r="C49" s="2">
        <v>213.1</v>
      </c>
      <c r="D49" s="4">
        <v>153100000000000</v>
      </c>
      <c r="E49" s="1">
        <v>1.33</v>
      </c>
      <c r="F49" s="1">
        <v>0.75</v>
      </c>
      <c r="G49" s="1">
        <v>5.0199999999999995E-4</v>
      </c>
      <c r="H49" s="1">
        <v>4.5599999999999996</v>
      </c>
      <c r="I49" s="1">
        <v>0.15</v>
      </c>
      <c r="J49" s="1">
        <f t="shared" si="0"/>
        <v>9.4326241134751773E-4</v>
      </c>
    </row>
    <row r="50" spans="1:10">
      <c r="A50" s="3">
        <v>90</v>
      </c>
      <c r="B50" s="4">
        <v>2.0219999999999999E-3</v>
      </c>
      <c r="C50" s="2">
        <v>202.3</v>
      </c>
      <c r="D50" s="4">
        <v>72440000000000</v>
      </c>
      <c r="E50" s="1">
        <v>0.85</v>
      </c>
      <c r="F50" s="1">
        <v>0.8</v>
      </c>
      <c r="G50" s="1">
        <v>4.2099999999999999E-4</v>
      </c>
      <c r="H50" s="1">
        <v>6.88</v>
      </c>
      <c r="I50" s="1">
        <v>0.14000000000000001</v>
      </c>
      <c r="J50" s="1">
        <f t="shared" si="0"/>
        <v>6.0283687943262409E-4</v>
      </c>
    </row>
    <row r="51" spans="1:10">
      <c r="A51" s="3">
        <v>95</v>
      </c>
      <c r="B51" s="4">
        <v>9.0700000000000004E-4</v>
      </c>
      <c r="C51" s="2">
        <v>211</v>
      </c>
      <c r="D51" s="4">
        <v>31160000000000</v>
      </c>
      <c r="E51" s="1">
        <v>0.54</v>
      </c>
      <c r="F51" s="1">
        <v>0.8</v>
      </c>
      <c r="G51" s="1">
        <v>3.5799999999999997E-4</v>
      </c>
      <c r="H51" s="1">
        <v>10.6</v>
      </c>
      <c r="I51" s="1">
        <v>0.13</v>
      </c>
      <c r="J51" s="1">
        <f t="shared" si="0"/>
        <v>3.8297872340425535E-4</v>
      </c>
    </row>
    <row r="52" spans="1:10">
      <c r="A52" s="3">
        <v>100</v>
      </c>
      <c r="B52" s="4">
        <v>4.2299999999999998E-4</v>
      </c>
      <c r="C52" s="2">
        <v>218.5</v>
      </c>
      <c r="D52" s="4">
        <v>14030000000000</v>
      </c>
      <c r="E52" s="1">
        <v>0.4</v>
      </c>
      <c r="F52" s="1">
        <v>0.4</v>
      </c>
      <c r="G52" s="1">
        <v>3.0800000000000001E-4</v>
      </c>
      <c r="H52" s="1">
        <v>17.100000000000001</v>
      </c>
      <c r="I52" s="1">
        <v>0.12</v>
      </c>
      <c r="J52" s="1">
        <f t="shared" si="0"/>
        <v>2.8368794326241134E-4</v>
      </c>
    </row>
    <row r="53" spans="1:10">
      <c r="A53" s="3">
        <v>105</v>
      </c>
      <c r="B53" s="4">
        <v>2.0699999999999999E-4</v>
      </c>
      <c r="C53" s="2">
        <v>234</v>
      </c>
      <c r="D53" s="4">
        <v>6412000000000</v>
      </c>
      <c r="E53" s="1">
        <v>0.34</v>
      </c>
      <c r="F53" s="1">
        <v>0.2</v>
      </c>
      <c r="G53" s="1">
        <v>2.6800000000000001E-4</v>
      </c>
      <c r="H53" s="1">
        <v>24.7</v>
      </c>
      <c r="I53" s="1">
        <v>0.11</v>
      </c>
      <c r="J53" s="1">
        <f t="shared" si="0"/>
        <v>2.4113475177304965E-4</v>
      </c>
    </row>
    <row r="54" spans="1:10">
      <c r="A54" s="3">
        <v>110</v>
      </c>
      <c r="B54" s="4">
        <v>1.08E-4</v>
      </c>
      <c r="C54" s="2">
        <v>252.6</v>
      </c>
      <c r="D54" s="4">
        <v>3099000000000</v>
      </c>
      <c r="E54" s="1">
        <v>0.28000000000000003</v>
      </c>
      <c r="F54" s="1">
        <v>0.05</v>
      </c>
      <c r="G54" s="1">
        <v>2.3499999999999999E-4</v>
      </c>
      <c r="H54" s="1">
        <v>33.6</v>
      </c>
      <c r="I54" s="1">
        <v>9.5000000000000001E-2</v>
      </c>
      <c r="J54" s="1">
        <f t="shared" si="0"/>
        <v>1.9858156028368796E-4</v>
      </c>
    </row>
    <row r="55" spans="1:10">
      <c r="A55" s="3">
        <v>115</v>
      </c>
      <c r="B55" s="4">
        <v>6.0000000000000002E-5</v>
      </c>
      <c r="C55" s="2">
        <v>288.5</v>
      </c>
      <c r="D55" s="4">
        <v>1507000000000</v>
      </c>
      <c r="E55" s="1">
        <v>0.24</v>
      </c>
      <c r="F55" s="1">
        <v>5.0000000000000001E-3</v>
      </c>
      <c r="G55" s="1">
        <v>2.0799999999999999E-4</v>
      </c>
      <c r="H55" s="1">
        <v>41.5</v>
      </c>
      <c r="I55" s="1">
        <v>0.06</v>
      </c>
      <c r="J55" s="1">
        <f t="shared" si="0"/>
        <v>1.7021276595744679E-4</v>
      </c>
    </row>
    <row r="56" spans="1:10">
      <c r="A56" s="3">
        <v>120</v>
      </c>
      <c r="B56" s="4">
        <v>3.5899999999999998E-5</v>
      </c>
      <c r="C56" s="2">
        <v>333</v>
      </c>
      <c r="D56" s="4">
        <v>781400000000</v>
      </c>
      <c r="E56" s="1">
        <v>0.2</v>
      </c>
      <c r="F56" s="1">
        <v>5.0000000000000001E-4</v>
      </c>
      <c r="G56" s="1">
        <v>1.85E-4</v>
      </c>
      <c r="H56" s="1">
        <v>50</v>
      </c>
      <c r="I56" s="1">
        <v>0.03</v>
      </c>
      <c r="J56" s="1">
        <f t="shared" si="0"/>
        <v>1.4184397163120567E-4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6"/>
  <sheetViews>
    <sheetView workbookViewId="0">
      <selection activeCell="J7" sqref="J7:J56"/>
    </sheetView>
  </sheetViews>
  <sheetFormatPr defaultRowHeight="14.4"/>
  <cols>
    <col min="1" max="1" width="9" style="3"/>
    <col min="2" max="2" width="11.6640625" style="4" bestFit="1" customWidth="1"/>
    <col min="3" max="3" width="9" style="2"/>
    <col min="4" max="4" width="12.88671875" style="4" customWidth="1"/>
    <col min="5" max="5" width="12.21875" customWidth="1"/>
    <col min="6" max="6" width="11.77734375" customWidth="1"/>
    <col min="7" max="7" width="13" customWidth="1"/>
    <col min="8" max="8" width="12.77734375" customWidth="1"/>
    <col min="9" max="9" width="12.109375" customWidth="1"/>
  </cols>
  <sheetData>
    <row r="1" spans="1:10">
      <c r="A1" s="3" t="s">
        <v>25</v>
      </c>
      <c r="I1" s="1"/>
    </row>
    <row r="2" spans="1:10">
      <c r="A2" s="3" t="s">
        <v>26</v>
      </c>
      <c r="I2" s="1"/>
    </row>
    <row r="3" spans="1:10">
      <c r="I3" s="1"/>
    </row>
    <row r="4" spans="1:10">
      <c r="A4" s="3" t="s">
        <v>2</v>
      </c>
      <c r="B4" s="4" t="s">
        <v>3</v>
      </c>
      <c r="C4" s="2" t="s">
        <v>4</v>
      </c>
      <c r="D4" s="4" t="s">
        <v>5</v>
      </c>
      <c r="E4" t="s">
        <v>8</v>
      </c>
      <c r="F4" t="s">
        <v>9</v>
      </c>
      <c r="G4" t="s">
        <v>6</v>
      </c>
      <c r="H4" t="s">
        <v>10</v>
      </c>
      <c r="I4" s="1" t="s">
        <v>7</v>
      </c>
    </row>
    <row r="5" spans="1:10">
      <c r="A5" s="3" t="s">
        <v>11</v>
      </c>
      <c r="B5" s="4" t="s">
        <v>15</v>
      </c>
      <c r="C5" s="2" t="s">
        <v>12</v>
      </c>
      <c r="D5" s="4" t="s">
        <v>13</v>
      </c>
      <c r="E5" t="s">
        <v>20</v>
      </c>
      <c r="F5" t="s">
        <v>14</v>
      </c>
      <c r="G5" t="s">
        <v>14</v>
      </c>
      <c r="H5" t="s">
        <v>14</v>
      </c>
      <c r="I5" s="1" t="s">
        <v>14</v>
      </c>
    </row>
    <row r="7" spans="1:10">
      <c r="A7" s="3">
        <v>0</v>
      </c>
      <c r="B7" s="4">
        <v>1013</v>
      </c>
      <c r="C7" s="2">
        <v>288.2</v>
      </c>
      <c r="D7" s="4">
        <v>2.548E+19</v>
      </c>
      <c r="E7" s="1">
        <v>7750</v>
      </c>
      <c r="F7" s="1">
        <v>2.6599999999999999E-2</v>
      </c>
      <c r="G7" s="1">
        <v>0.32</v>
      </c>
      <c r="H7" s="1">
        <v>0.15</v>
      </c>
      <c r="I7" s="1">
        <v>1.7</v>
      </c>
      <c r="J7" s="1">
        <f>E7/$E$7</f>
        <v>1</v>
      </c>
    </row>
    <row r="8" spans="1:10">
      <c r="A8" s="3">
        <v>1</v>
      </c>
      <c r="B8" s="4">
        <v>898.8</v>
      </c>
      <c r="C8" s="2">
        <v>281.7</v>
      </c>
      <c r="D8" s="4">
        <v>2.313E+19</v>
      </c>
      <c r="E8" s="1">
        <v>6070</v>
      </c>
      <c r="F8" s="1">
        <v>2.93E-2</v>
      </c>
      <c r="G8" s="1">
        <v>0.32</v>
      </c>
      <c r="H8" s="1">
        <v>0.14499999999999999</v>
      </c>
      <c r="I8" s="1">
        <v>1.7</v>
      </c>
      <c r="J8" s="1">
        <f t="shared" ref="J8:J56" si="0">E8/$E$7</f>
        <v>0.78322580645161288</v>
      </c>
    </row>
    <row r="9" spans="1:10">
      <c r="A9" s="3">
        <v>2</v>
      </c>
      <c r="B9" s="4">
        <v>795</v>
      </c>
      <c r="C9" s="2">
        <v>275.2</v>
      </c>
      <c r="D9" s="4">
        <v>2.094E+19</v>
      </c>
      <c r="E9" s="1">
        <v>4630</v>
      </c>
      <c r="F9" s="1">
        <v>3.2399999999999998E-2</v>
      </c>
      <c r="G9" s="1">
        <v>0.32</v>
      </c>
      <c r="H9" s="1">
        <v>0.14000000000000001</v>
      </c>
      <c r="I9" s="1">
        <v>1.7</v>
      </c>
      <c r="J9" s="1">
        <f t="shared" si="0"/>
        <v>0.59741935483870967</v>
      </c>
    </row>
    <row r="10" spans="1:10">
      <c r="A10" s="3">
        <v>3</v>
      </c>
      <c r="B10" s="4">
        <v>701.2</v>
      </c>
      <c r="C10" s="2">
        <v>266.7</v>
      </c>
      <c r="D10" s="4">
        <v>1.891E+19</v>
      </c>
      <c r="E10" s="1">
        <v>3180</v>
      </c>
      <c r="F10" s="1">
        <v>3.32E-2</v>
      </c>
      <c r="G10" s="1">
        <v>0.32</v>
      </c>
      <c r="H10" s="1">
        <v>0.13500000000000001</v>
      </c>
      <c r="I10" s="1">
        <v>1.7</v>
      </c>
      <c r="J10" s="1">
        <f t="shared" si="0"/>
        <v>0.41032258064516131</v>
      </c>
    </row>
    <row r="11" spans="1:10">
      <c r="A11" s="3">
        <v>4</v>
      </c>
      <c r="B11" s="4">
        <v>616.6</v>
      </c>
      <c r="C11" s="2">
        <v>262.2</v>
      </c>
      <c r="D11" s="4">
        <v>1.704E+19</v>
      </c>
      <c r="E11" s="1">
        <v>2160</v>
      </c>
      <c r="F11" s="1">
        <v>3.39E-2</v>
      </c>
      <c r="G11" s="1">
        <v>0.32</v>
      </c>
      <c r="H11" s="1">
        <v>0.13100000000000001</v>
      </c>
      <c r="I11" s="1">
        <v>1.7</v>
      </c>
      <c r="J11" s="1">
        <f t="shared" si="0"/>
        <v>0.27870967741935482</v>
      </c>
    </row>
    <row r="12" spans="1:10">
      <c r="A12" s="3">
        <v>5</v>
      </c>
      <c r="B12" s="4">
        <v>540.5</v>
      </c>
      <c r="C12" s="2">
        <v>255.7</v>
      </c>
      <c r="D12" s="4">
        <v>1.532E+19</v>
      </c>
      <c r="E12" s="1">
        <v>1400</v>
      </c>
      <c r="F12" s="1">
        <v>3.7699999999999997E-2</v>
      </c>
      <c r="G12" s="1">
        <v>0.32</v>
      </c>
      <c r="H12" s="1">
        <v>0.13</v>
      </c>
      <c r="I12" s="1">
        <v>1.7</v>
      </c>
      <c r="J12" s="1">
        <f t="shared" si="0"/>
        <v>0.18064516129032257</v>
      </c>
    </row>
    <row r="13" spans="1:10">
      <c r="A13" s="3">
        <v>6</v>
      </c>
      <c r="B13" s="4">
        <v>472.2</v>
      </c>
      <c r="C13" s="2">
        <v>249.2</v>
      </c>
      <c r="D13" s="4">
        <v>1.3731419E+19</v>
      </c>
      <c r="E13" s="1">
        <v>925</v>
      </c>
      <c r="F13" s="1">
        <v>4.1099999999999998E-2</v>
      </c>
      <c r="G13" s="1">
        <v>0.32</v>
      </c>
      <c r="H13" s="1">
        <v>0.129</v>
      </c>
      <c r="I13" s="1">
        <v>1.7</v>
      </c>
      <c r="J13" s="1">
        <f t="shared" si="0"/>
        <v>0.11935483870967742</v>
      </c>
    </row>
    <row r="14" spans="1:10">
      <c r="A14" s="3">
        <v>7</v>
      </c>
      <c r="B14" s="4">
        <v>411.1</v>
      </c>
      <c r="C14" s="2">
        <v>242.7</v>
      </c>
      <c r="D14" s="4">
        <v>1.228E+19</v>
      </c>
      <c r="E14" s="1">
        <v>572</v>
      </c>
      <c r="F14" s="1">
        <v>5.0099999999999999E-2</v>
      </c>
      <c r="G14" s="1">
        <v>0.32</v>
      </c>
      <c r="H14" s="1">
        <v>0.125</v>
      </c>
      <c r="I14" s="1">
        <v>1.7</v>
      </c>
      <c r="J14" s="1">
        <f t="shared" si="0"/>
        <v>7.3806451612903223E-2</v>
      </c>
    </row>
    <row r="15" spans="1:10">
      <c r="A15" s="3">
        <v>8</v>
      </c>
      <c r="B15" s="4">
        <v>356.5</v>
      </c>
      <c r="C15" s="2">
        <v>236.2</v>
      </c>
      <c r="D15" s="4">
        <v>1.094E+19</v>
      </c>
      <c r="E15" s="1">
        <v>367</v>
      </c>
      <c r="F15" s="1">
        <v>5.9700000000000003E-2</v>
      </c>
      <c r="G15" s="1">
        <v>0.32</v>
      </c>
      <c r="H15" s="1">
        <v>0.11899999999999999</v>
      </c>
      <c r="I15" s="1">
        <v>1.7</v>
      </c>
      <c r="J15" s="1">
        <f t="shared" si="0"/>
        <v>4.7354838709677417E-2</v>
      </c>
    </row>
    <row r="16" spans="1:10">
      <c r="A16" s="3">
        <v>9</v>
      </c>
      <c r="B16" s="4">
        <v>306</v>
      </c>
      <c r="C16" s="2">
        <v>229.7</v>
      </c>
      <c r="D16" s="4">
        <v>9.719E+18</v>
      </c>
      <c r="E16" s="1">
        <v>158</v>
      </c>
      <c r="F16" s="1">
        <v>9.1700000000000004E-2</v>
      </c>
      <c r="G16" s="1">
        <v>0.32</v>
      </c>
      <c r="H16" s="1">
        <v>0.109</v>
      </c>
      <c r="I16" s="1">
        <v>1.69</v>
      </c>
      <c r="J16" s="1">
        <f t="shared" si="0"/>
        <v>2.038709677419355E-2</v>
      </c>
    </row>
    <row r="17" spans="1:10">
      <c r="A17" s="3">
        <v>10</v>
      </c>
      <c r="B17" s="4">
        <v>265</v>
      </c>
      <c r="C17" s="2">
        <v>223.3</v>
      </c>
      <c r="D17" s="4">
        <v>8.602E+18</v>
      </c>
      <c r="E17" s="1">
        <v>70</v>
      </c>
      <c r="F17" s="1">
        <v>0.13100000000000001</v>
      </c>
      <c r="G17" s="1">
        <v>0.318</v>
      </c>
      <c r="H17" s="1">
        <v>9.9599999999999994E-2</v>
      </c>
      <c r="I17" s="1">
        <v>1.69</v>
      </c>
      <c r="J17" s="1">
        <f t="shared" si="0"/>
        <v>9.0322580645161299E-3</v>
      </c>
    </row>
    <row r="18" spans="1:10">
      <c r="A18" s="3">
        <v>11</v>
      </c>
      <c r="B18" s="4">
        <v>227</v>
      </c>
      <c r="C18" s="2">
        <v>216.8</v>
      </c>
      <c r="D18" s="4">
        <v>7.585E+18</v>
      </c>
      <c r="E18" s="1">
        <v>36.1</v>
      </c>
      <c r="F18" s="1">
        <v>0.215</v>
      </c>
      <c r="G18" s="1">
        <v>0.314</v>
      </c>
      <c r="H18" s="1">
        <v>8.9599999999999999E-2</v>
      </c>
      <c r="I18" s="1">
        <v>1.68</v>
      </c>
      <c r="J18" s="1">
        <f t="shared" si="0"/>
        <v>4.6580645161290327E-3</v>
      </c>
    </row>
    <row r="19" spans="1:10">
      <c r="A19" s="3">
        <v>12</v>
      </c>
      <c r="B19" s="4">
        <v>194</v>
      </c>
      <c r="C19" s="2">
        <v>216.7</v>
      </c>
      <c r="D19" s="4">
        <v>6.489E+18</v>
      </c>
      <c r="E19" s="1">
        <v>19.100000000000001</v>
      </c>
      <c r="F19" s="1">
        <v>0.31</v>
      </c>
      <c r="G19" s="1">
        <v>0.31</v>
      </c>
      <c r="H19" s="1">
        <v>7.8100000000000003E-2</v>
      </c>
      <c r="I19" s="1">
        <v>1.66</v>
      </c>
      <c r="J19" s="1">
        <f t="shared" si="0"/>
        <v>2.4645161290322583E-3</v>
      </c>
    </row>
    <row r="20" spans="1:10">
      <c r="A20" s="3">
        <v>13</v>
      </c>
      <c r="B20" s="4">
        <v>165.8</v>
      </c>
      <c r="C20" s="2">
        <v>216.7</v>
      </c>
      <c r="D20" s="4">
        <v>5.546E+18</v>
      </c>
      <c r="E20" s="1">
        <v>10.9</v>
      </c>
      <c r="F20" s="1">
        <v>0.38500000000000001</v>
      </c>
      <c r="G20" s="1">
        <v>0.30499999999999999</v>
      </c>
      <c r="H20" s="1">
        <v>6.3700000000000007E-2</v>
      </c>
      <c r="I20" s="1">
        <v>1.65</v>
      </c>
      <c r="J20" s="1">
        <f t="shared" si="0"/>
        <v>1.4064516129032258E-3</v>
      </c>
    </row>
    <row r="21" spans="1:10">
      <c r="A21" s="3">
        <v>14</v>
      </c>
      <c r="B21" s="4">
        <v>141.69999999999999</v>
      </c>
      <c r="C21" s="2">
        <v>216.7</v>
      </c>
      <c r="D21" s="4">
        <v>4.739E+18</v>
      </c>
      <c r="E21" s="1">
        <v>5.93</v>
      </c>
      <c r="F21" s="1">
        <v>0.503</v>
      </c>
      <c r="G21" s="1">
        <v>0.3</v>
      </c>
      <c r="H21" s="1">
        <v>5.0299999999999997E-2</v>
      </c>
      <c r="I21" s="1">
        <v>1.63</v>
      </c>
      <c r="J21" s="1">
        <f t="shared" si="0"/>
        <v>7.6516129032258063E-4</v>
      </c>
    </row>
    <row r="22" spans="1:10">
      <c r="A22" s="3">
        <v>15</v>
      </c>
      <c r="B22" s="4">
        <v>121.1</v>
      </c>
      <c r="C22" s="2">
        <v>216.7</v>
      </c>
      <c r="D22" s="4">
        <v>4.05E+18</v>
      </c>
      <c r="E22" s="1">
        <v>5</v>
      </c>
      <c r="F22" s="1">
        <v>0.65100000000000002</v>
      </c>
      <c r="G22" s="1">
        <v>0.29399999999999998</v>
      </c>
      <c r="H22" s="1">
        <v>3.9399999999999998E-2</v>
      </c>
      <c r="I22" s="1">
        <v>1.61</v>
      </c>
      <c r="J22" s="1">
        <f t="shared" si="0"/>
        <v>6.4516129032258064E-4</v>
      </c>
    </row>
    <row r="23" spans="1:10">
      <c r="A23" s="3">
        <v>16</v>
      </c>
      <c r="B23" s="4">
        <v>103.5</v>
      </c>
      <c r="C23" s="2">
        <v>216.7</v>
      </c>
      <c r="D23" s="4">
        <v>3.462E+18</v>
      </c>
      <c r="E23" s="1">
        <v>3.95</v>
      </c>
      <c r="F23" s="1">
        <v>0.87</v>
      </c>
      <c r="G23" s="1">
        <v>0.28799999999999998</v>
      </c>
      <c r="H23" s="1">
        <v>3.0700000000000002E-2</v>
      </c>
      <c r="I23" s="1">
        <v>1.58</v>
      </c>
      <c r="J23" s="1">
        <f t="shared" si="0"/>
        <v>5.0967741935483877E-4</v>
      </c>
    </row>
    <row r="24" spans="1:10">
      <c r="A24" s="3">
        <v>17</v>
      </c>
      <c r="B24" s="4">
        <v>88.5</v>
      </c>
      <c r="C24" s="2">
        <v>216.7</v>
      </c>
      <c r="D24" s="4">
        <v>2.96E+18</v>
      </c>
      <c r="E24" s="1">
        <v>3.85</v>
      </c>
      <c r="F24" s="1">
        <v>1.19</v>
      </c>
      <c r="G24" s="1">
        <v>0.27800000000000002</v>
      </c>
      <c r="H24" s="1">
        <v>2.4899999999999999E-2</v>
      </c>
      <c r="I24" s="1">
        <v>1.55</v>
      </c>
      <c r="J24" s="1">
        <f t="shared" si="0"/>
        <v>4.9677419354838713E-4</v>
      </c>
    </row>
    <row r="25" spans="1:10">
      <c r="A25" s="3">
        <v>18</v>
      </c>
      <c r="B25" s="4">
        <v>75.650000000000006</v>
      </c>
      <c r="C25" s="2">
        <v>216.7</v>
      </c>
      <c r="D25" s="4">
        <v>2.53E+18</v>
      </c>
      <c r="E25" s="1">
        <v>3.83</v>
      </c>
      <c r="F25" s="1">
        <v>1.59</v>
      </c>
      <c r="G25" s="1">
        <v>0.26700000000000002</v>
      </c>
      <c r="H25" s="1">
        <v>1.9699999999999999E-2</v>
      </c>
      <c r="I25" s="1">
        <v>1.52</v>
      </c>
      <c r="J25" s="1">
        <f t="shared" si="0"/>
        <v>4.9419354838709678E-4</v>
      </c>
    </row>
    <row r="26" spans="1:10">
      <c r="A26" s="3">
        <v>19</v>
      </c>
      <c r="B26" s="4">
        <v>64.67</v>
      </c>
      <c r="C26" s="2">
        <v>216.7</v>
      </c>
      <c r="D26" s="4">
        <v>2.163E+18</v>
      </c>
      <c r="E26" s="1">
        <v>3.85</v>
      </c>
      <c r="F26" s="1">
        <v>2.0299999999999998</v>
      </c>
      <c r="G26" s="1">
        <v>0.253</v>
      </c>
      <c r="H26" s="1">
        <v>1.55E-2</v>
      </c>
      <c r="I26" s="1">
        <v>1.48</v>
      </c>
      <c r="J26" s="1">
        <f t="shared" si="0"/>
        <v>4.9677419354838713E-4</v>
      </c>
    </row>
    <row r="27" spans="1:10">
      <c r="A27" s="3">
        <v>20</v>
      </c>
      <c r="B27" s="4">
        <v>55.29</v>
      </c>
      <c r="C27" s="2">
        <v>216.7</v>
      </c>
      <c r="D27" s="4">
        <v>1.849E+18</v>
      </c>
      <c r="E27" s="1">
        <v>3.9</v>
      </c>
      <c r="F27" s="1">
        <v>2.68</v>
      </c>
      <c r="G27" s="1">
        <v>0.23699999999999999</v>
      </c>
      <c r="H27" s="1">
        <v>1.3299999999999999E-2</v>
      </c>
      <c r="I27" s="1">
        <v>1.42</v>
      </c>
      <c r="J27" s="1">
        <f t="shared" si="0"/>
        <v>5.0322580645161289E-4</v>
      </c>
    </row>
    <row r="28" spans="1:10">
      <c r="A28" s="3">
        <v>21</v>
      </c>
      <c r="B28" s="4">
        <v>47.29</v>
      </c>
      <c r="C28" s="2">
        <v>217.6</v>
      </c>
      <c r="D28" s="4">
        <v>1.575E+18</v>
      </c>
      <c r="E28" s="1">
        <v>3.98</v>
      </c>
      <c r="F28" s="1">
        <v>3.03</v>
      </c>
      <c r="G28" s="1">
        <v>0.219</v>
      </c>
      <c r="H28" s="1">
        <v>1.23E-2</v>
      </c>
      <c r="I28" s="1">
        <v>1.36</v>
      </c>
      <c r="J28" s="1">
        <f t="shared" si="0"/>
        <v>5.1354838709677419E-4</v>
      </c>
    </row>
    <row r="29" spans="1:10">
      <c r="A29" s="3">
        <v>22</v>
      </c>
      <c r="B29" s="4">
        <v>40.47</v>
      </c>
      <c r="C29" s="2">
        <v>218.6</v>
      </c>
      <c r="D29" s="4">
        <v>1.342E+18</v>
      </c>
      <c r="E29" s="1">
        <v>4.07</v>
      </c>
      <c r="F29" s="1">
        <v>3.65</v>
      </c>
      <c r="G29" s="1">
        <v>0.20499999999999999</v>
      </c>
      <c r="H29" s="1">
        <v>1.23E-2</v>
      </c>
      <c r="I29" s="1">
        <v>1.27</v>
      </c>
      <c r="J29" s="1">
        <f t="shared" si="0"/>
        <v>5.2516129032258066E-4</v>
      </c>
    </row>
    <row r="30" spans="1:10">
      <c r="A30" s="3">
        <v>23</v>
      </c>
      <c r="B30" s="4">
        <v>34.67</v>
      </c>
      <c r="C30" s="2">
        <v>219.6</v>
      </c>
      <c r="D30" s="4">
        <v>1.144E+18</v>
      </c>
      <c r="E30" s="1">
        <v>4.2</v>
      </c>
      <c r="F30" s="1">
        <v>4.17</v>
      </c>
      <c r="G30" s="1">
        <v>0.19700000000000001</v>
      </c>
      <c r="H30" s="1">
        <v>1.3100000000000001E-2</v>
      </c>
      <c r="I30" s="1">
        <v>1.19</v>
      </c>
      <c r="J30" s="1">
        <f t="shared" si="0"/>
        <v>5.4193548387096772E-4</v>
      </c>
    </row>
    <row r="31" spans="1:10">
      <c r="A31" s="3">
        <v>24</v>
      </c>
      <c r="B31" s="4">
        <v>29.72</v>
      </c>
      <c r="C31" s="2">
        <v>220.6</v>
      </c>
      <c r="D31" s="4">
        <v>9.765E+17</v>
      </c>
      <c r="E31" s="1">
        <v>4.3</v>
      </c>
      <c r="F31" s="1">
        <v>4.63</v>
      </c>
      <c r="G31" s="1">
        <v>0.188</v>
      </c>
      <c r="H31" s="1">
        <v>1.4E-2</v>
      </c>
      <c r="I31" s="1">
        <v>1.1200000000000001</v>
      </c>
      <c r="J31" s="1">
        <f t="shared" si="0"/>
        <v>5.5483870967741936E-4</v>
      </c>
    </row>
    <row r="32" spans="1:10">
      <c r="A32" s="3">
        <v>25</v>
      </c>
      <c r="B32" s="4">
        <v>25.49</v>
      </c>
      <c r="C32" s="2">
        <v>221.6</v>
      </c>
      <c r="D32" s="4">
        <v>8.337E+17</v>
      </c>
      <c r="E32" s="1">
        <v>4.43</v>
      </c>
      <c r="F32" s="1">
        <v>5.12</v>
      </c>
      <c r="G32" s="1">
        <v>0.17599999999999999</v>
      </c>
      <c r="H32" s="1">
        <v>1.4999999999999999E-2</v>
      </c>
      <c r="I32" s="1">
        <v>1.06</v>
      </c>
      <c r="J32" s="1">
        <f t="shared" si="0"/>
        <v>5.7161290322580642E-4</v>
      </c>
    </row>
    <row r="33" spans="1:10">
      <c r="A33" s="3">
        <v>27.5</v>
      </c>
      <c r="B33" s="4">
        <v>17.43</v>
      </c>
      <c r="C33" s="2">
        <v>224</v>
      </c>
      <c r="D33" s="4">
        <v>5.64E+17</v>
      </c>
      <c r="E33" s="1">
        <v>4.58</v>
      </c>
      <c r="F33" s="1">
        <v>5.8</v>
      </c>
      <c r="G33" s="1">
        <v>0.159</v>
      </c>
      <c r="H33" s="1">
        <v>1.6E-2</v>
      </c>
      <c r="I33" s="1">
        <v>0.98699999999999999</v>
      </c>
      <c r="J33" s="1">
        <f t="shared" si="0"/>
        <v>5.9096774193548383E-4</v>
      </c>
    </row>
    <row r="34" spans="1:10">
      <c r="A34" s="3">
        <v>30</v>
      </c>
      <c r="B34" s="4">
        <v>11.97</v>
      </c>
      <c r="C34" s="2">
        <v>226.5</v>
      </c>
      <c r="D34" s="4">
        <v>3.83E+17</v>
      </c>
      <c r="E34" s="1">
        <v>4.7300000000000004</v>
      </c>
      <c r="F34" s="1">
        <v>6.55</v>
      </c>
      <c r="G34" s="1">
        <v>0.14199999999999999</v>
      </c>
      <c r="H34" s="1">
        <v>1.7100000000000001E-2</v>
      </c>
      <c r="I34" s="1">
        <v>0.91400000000000003</v>
      </c>
      <c r="J34" s="1">
        <f t="shared" si="0"/>
        <v>6.1032258064516135E-4</v>
      </c>
    </row>
    <row r="35" spans="1:10">
      <c r="A35" s="3">
        <v>32.5</v>
      </c>
      <c r="B35" s="4">
        <v>8.01</v>
      </c>
      <c r="C35" s="2">
        <v>230</v>
      </c>
      <c r="D35" s="4">
        <v>2.524E+17</v>
      </c>
      <c r="E35" s="1">
        <v>4.83</v>
      </c>
      <c r="F35" s="1">
        <v>7.37</v>
      </c>
      <c r="G35" s="1">
        <v>0.11700000000000001</v>
      </c>
      <c r="H35" s="1">
        <v>1.8499999999999999E-2</v>
      </c>
      <c r="I35" s="1">
        <v>0.83</v>
      </c>
      <c r="J35" s="1">
        <f t="shared" si="0"/>
        <v>6.2322580645161288E-4</v>
      </c>
    </row>
    <row r="36" spans="1:10">
      <c r="A36" s="3">
        <v>35</v>
      </c>
      <c r="B36" s="4">
        <v>5.7460000000000004</v>
      </c>
      <c r="C36" s="2">
        <v>236.5</v>
      </c>
      <c r="D36" s="4">
        <v>1.761E+17</v>
      </c>
      <c r="E36" s="1">
        <v>4.9000000000000004</v>
      </c>
      <c r="F36" s="1">
        <v>7.84</v>
      </c>
      <c r="G36" s="1">
        <v>9.2799999999999994E-2</v>
      </c>
      <c r="H36" s="1">
        <v>2.01E-2</v>
      </c>
      <c r="I36" s="1">
        <v>0.746</v>
      </c>
      <c r="J36" s="1">
        <f t="shared" si="0"/>
        <v>6.3225806451612911E-4</v>
      </c>
    </row>
    <row r="37" spans="1:10">
      <c r="A37" s="3">
        <v>37.5</v>
      </c>
      <c r="B37" s="4">
        <v>4.1500000000000004</v>
      </c>
      <c r="C37" s="2">
        <v>242.9</v>
      </c>
      <c r="D37" s="4">
        <v>1.238E+17</v>
      </c>
      <c r="E37" s="1">
        <v>4.95</v>
      </c>
      <c r="F37" s="1">
        <v>7.8</v>
      </c>
      <c r="G37" s="1">
        <v>6.6900000000000001E-2</v>
      </c>
      <c r="H37" s="1">
        <v>2.2200000000000001E-2</v>
      </c>
      <c r="I37" s="1">
        <v>0.66200000000000003</v>
      </c>
      <c r="J37" s="1">
        <f t="shared" si="0"/>
        <v>6.3870967741935488E-4</v>
      </c>
    </row>
    <row r="38" spans="1:10">
      <c r="A38" s="3">
        <v>40</v>
      </c>
      <c r="B38" s="4">
        <v>2.87114</v>
      </c>
      <c r="C38" s="2">
        <v>250.4</v>
      </c>
      <c r="D38" s="4">
        <v>8.31E+16</v>
      </c>
      <c r="E38" s="1">
        <v>5.03</v>
      </c>
      <c r="F38" s="1">
        <v>7.3</v>
      </c>
      <c r="G38" s="1">
        <v>4.5100000000000001E-2</v>
      </c>
      <c r="H38" s="1">
        <v>2.5000000000000001E-2</v>
      </c>
      <c r="I38" s="1">
        <v>0.56399999999999995</v>
      </c>
      <c r="J38" s="1">
        <f t="shared" si="0"/>
        <v>6.4903225806451617E-4</v>
      </c>
    </row>
    <row r="39" spans="1:10">
      <c r="A39" s="3">
        <v>42.5</v>
      </c>
      <c r="B39" s="4">
        <v>2.06</v>
      </c>
      <c r="C39" s="2">
        <v>257.3</v>
      </c>
      <c r="D39" s="4">
        <v>5.803E+16</v>
      </c>
      <c r="E39" s="1">
        <v>5.15</v>
      </c>
      <c r="F39" s="1">
        <v>6.2</v>
      </c>
      <c r="G39" s="1">
        <v>2.75E-2</v>
      </c>
      <c r="H39" s="1">
        <v>2.8199999999999999E-2</v>
      </c>
      <c r="I39" s="1">
        <v>0.46100000000000002</v>
      </c>
      <c r="J39" s="1">
        <f t="shared" si="0"/>
        <v>6.6451612903225816E-4</v>
      </c>
    </row>
    <row r="40" spans="1:10">
      <c r="A40" s="3">
        <v>45</v>
      </c>
      <c r="B40" s="4">
        <v>1.4910000000000001</v>
      </c>
      <c r="C40" s="2">
        <v>264.2</v>
      </c>
      <c r="D40" s="4">
        <v>4.09E+16</v>
      </c>
      <c r="E40" s="1">
        <v>5.23</v>
      </c>
      <c r="F40" s="1">
        <v>5.25</v>
      </c>
      <c r="G40" s="1">
        <v>1.5900000000000001E-2</v>
      </c>
      <c r="H40" s="1">
        <v>3.2399999999999998E-2</v>
      </c>
      <c r="I40" s="1">
        <v>0.36299999999999999</v>
      </c>
      <c r="J40" s="1">
        <f t="shared" si="0"/>
        <v>6.7483870967741946E-4</v>
      </c>
    </row>
    <row r="41" spans="1:10">
      <c r="A41" s="3">
        <v>47.5</v>
      </c>
      <c r="B41" s="4">
        <v>1.0900000000000001</v>
      </c>
      <c r="C41" s="2">
        <v>270.60000000000002</v>
      </c>
      <c r="D41" s="4">
        <v>2.92E+16</v>
      </c>
      <c r="E41" s="1">
        <v>5.25</v>
      </c>
      <c r="F41" s="1">
        <v>4.0999999999999996</v>
      </c>
      <c r="G41" s="1">
        <v>9.3799999999999994E-3</v>
      </c>
      <c r="H41" s="1">
        <v>3.7199999999999997E-2</v>
      </c>
      <c r="I41" s="1">
        <v>0.27700000000000002</v>
      </c>
      <c r="J41" s="1">
        <f t="shared" si="0"/>
        <v>6.774193548387097E-4</v>
      </c>
    </row>
    <row r="42" spans="1:10">
      <c r="A42" s="3">
        <v>50</v>
      </c>
      <c r="B42" s="4">
        <v>0.79779999999999995</v>
      </c>
      <c r="C42" s="2">
        <v>270.7</v>
      </c>
      <c r="D42" s="4">
        <v>2.136E+16</v>
      </c>
      <c r="E42" s="1">
        <v>5.23</v>
      </c>
      <c r="F42" s="1">
        <v>3.1</v>
      </c>
      <c r="G42" s="1">
        <v>4.7499999999999999E-3</v>
      </c>
      <c r="H42" s="1">
        <v>4.5999999999999999E-2</v>
      </c>
      <c r="I42" s="1">
        <v>0.21</v>
      </c>
      <c r="J42" s="1">
        <f t="shared" si="0"/>
        <v>6.7483870967741946E-4</v>
      </c>
    </row>
    <row r="43" spans="1:10">
      <c r="A43" s="3">
        <v>55</v>
      </c>
      <c r="B43" s="4">
        <v>0.42499999999999999</v>
      </c>
      <c r="C43" s="2">
        <v>260.8</v>
      </c>
      <c r="D43" s="4">
        <v>1.181E+16</v>
      </c>
      <c r="E43" s="1">
        <v>5.0999999999999996</v>
      </c>
      <c r="F43" s="1">
        <v>1.8</v>
      </c>
      <c r="G43" s="1">
        <v>3.0000000000000001E-3</v>
      </c>
      <c r="H43" s="1">
        <v>6.54E-2</v>
      </c>
      <c r="I43" s="1">
        <v>0.16500000000000001</v>
      </c>
      <c r="J43" s="1">
        <f t="shared" si="0"/>
        <v>6.5806451612903218E-4</v>
      </c>
    </row>
    <row r="44" spans="1:10">
      <c r="A44" s="3">
        <v>60</v>
      </c>
      <c r="B44" s="4">
        <v>0.219</v>
      </c>
      <c r="C44" s="2">
        <v>247</v>
      </c>
      <c r="D44" s="4">
        <v>6426000000000000</v>
      </c>
      <c r="E44" s="1">
        <v>4.75</v>
      </c>
      <c r="F44" s="1">
        <v>1.1000000000000001</v>
      </c>
      <c r="G44" s="1">
        <v>2E-3</v>
      </c>
      <c r="H44" s="1">
        <v>0.107</v>
      </c>
      <c r="I44" s="1">
        <v>0.15</v>
      </c>
      <c r="J44" s="1">
        <f t="shared" si="0"/>
        <v>6.1290322580645159E-4</v>
      </c>
    </row>
    <row r="45" spans="1:10">
      <c r="A45" s="3">
        <v>65</v>
      </c>
      <c r="B45" s="4">
        <v>0.109</v>
      </c>
      <c r="C45" s="2">
        <v>233.3</v>
      </c>
      <c r="D45" s="4">
        <v>3386000000000000</v>
      </c>
      <c r="E45" s="1">
        <v>4.2</v>
      </c>
      <c r="F45" s="1">
        <v>0.7</v>
      </c>
      <c r="G45" s="1">
        <v>1.5100000000000001E-3</v>
      </c>
      <c r="H45" s="1">
        <v>0.186</v>
      </c>
      <c r="I45" s="1">
        <v>0.15</v>
      </c>
      <c r="J45" s="1">
        <f t="shared" si="0"/>
        <v>5.4193548387096772E-4</v>
      </c>
    </row>
    <row r="46" spans="1:10">
      <c r="A46" s="3">
        <v>70</v>
      </c>
      <c r="B46" s="4">
        <v>5.2200000000000003E-2</v>
      </c>
      <c r="C46" s="2">
        <v>219.6</v>
      </c>
      <c r="D46" s="4">
        <v>1723000000000000</v>
      </c>
      <c r="E46" s="1">
        <v>3.5</v>
      </c>
      <c r="F46" s="1">
        <v>0.3</v>
      </c>
      <c r="G46" s="1">
        <v>1.15E-3</v>
      </c>
      <c r="H46" s="1">
        <v>0.30599999999999999</v>
      </c>
      <c r="I46" s="1">
        <v>0.15</v>
      </c>
      <c r="J46" s="1">
        <f t="shared" si="0"/>
        <v>4.5161290322580643E-4</v>
      </c>
    </row>
    <row r="47" spans="1:10">
      <c r="A47" s="3">
        <v>75</v>
      </c>
      <c r="B47" s="4">
        <v>2.4E-2</v>
      </c>
      <c r="C47" s="2">
        <v>208.4</v>
      </c>
      <c r="D47" s="4">
        <v>834700000000000</v>
      </c>
      <c r="E47" s="1">
        <v>2.83</v>
      </c>
      <c r="F47" s="1">
        <v>0.25</v>
      </c>
      <c r="G47" s="1">
        <v>8.8900000000000003E-4</v>
      </c>
      <c r="H47" s="1">
        <v>0.63800000000000001</v>
      </c>
      <c r="I47" s="1">
        <v>0.15</v>
      </c>
      <c r="J47" s="1">
        <f t="shared" si="0"/>
        <v>3.6516129032258067E-4</v>
      </c>
    </row>
    <row r="48" spans="1:10">
      <c r="A48" s="3">
        <v>80</v>
      </c>
      <c r="B48" s="4">
        <v>1.0500000000000001E-2</v>
      </c>
      <c r="C48" s="2">
        <v>198.6</v>
      </c>
      <c r="D48" s="4">
        <v>383200000000000</v>
      </c>
      <c r="E48" s="1">
        <v>2.0499999999999998</v>
      </c>
      <c r="F48" s="1">
        <v>0.3</v>
      </c>
      <c r="G48" s="1">
        <v>7.0600000000000003E-4</v>
      </c>
      <c r="H48" s="1">
        <v>1.5</v>
      </c>
      <c r="I48" s="1">
        <v>0.15</v>
      </c>
      <c r="J48" s="1">
        <f t="shared" si="0"/>
        <v>2.6451612903225804E-4</v>
      </c>
    </row>
    <row r="49" spans="1:10">
      <c r="A49" s="3">
        <v>85</v>
      </c>
      <c r="B49" s="4">
        <v>4.4600000000000004E-3</v>
      </c>
      <c r="C49" s="2">
        <v>188.9</v>
      </c>
      <c r="D49" s="4">
        <v>171100000000000</v>
      </c>
      <c r="E49" s="1">
        <v>1.33</v>
      </c>
      <c r="F49" s="1">
        <v>0.5</v>
      </c>
      <c r="G49" s="1">
        <v>5.7200000000000003E-4</v>
      </c>
      <c r="H49" s="1">
        <v>3.24</v>
      </c>
      <c r="I49" s="1">
        <v>0.15</v>
      </c>
      <c r="J49" s="1">
        <f t="shared" si="0"/>
        <v>1.7161290322580645E-4</v>
      </c>
    </row>
    <row r="50" spans="1:10">
      <c r="A50" s="3">
        <v>90</v>
      </c>
      <c r="B50" s="4">
        <v>1.8400000000000001E-3</v>
      </c>
      <c r="C50" s="2">
        <v>186.9</v>
      </c>
      <c r="D50" s="4">
        <v>71360000000000</v>
      </c>
      <c r="E50" s="1">
        <v>0.85</v>
      </c>
      <c r="F50" s="1">
        <v>0.7</v>
      </c>
      <c r="G50" s="1">
        <v>4.7100000000000001E-4</v>
      </c>
      <c r="H50" s="1">
        <v>5.84</v>
      </c>
      <c r="I50" s="1">
        <v>0.14000000000000001</v>
      </c>
      <c r="J50" s="1">
        <f t="shared" si="0"/>
        <v>1.0967741935483871E-4</v>
      </c>
    </row>
    <row r="51" spans="1:10">
      <c r="A51" s="3">
        <v>95</v>
      </c>
      <c r="B51" s="4">
        <v>7.6000000000000004E-4</v>
      </c>
      <c r="C51" s="2">
        <v>188.4</v>
      </c>
      <c r="D51" s="4">
        <v>29240000000000</v>
      </c>
      <c r="E51" s="1">
        <v>0.54</v>
      </c>
      <c r="F51" s="1">
        <v>0.7</v>
      </c>
      <c r="G51" s="1">
        <v>3.9300000000000001E-4</v>
      </c>
      <c r="H51" s="1">
        <v>10.1</v>
      </c>
      <c r="I51" s="1">
        <v>0.13</v>
      </c>
      <c r="J51" s="1">
        <f t="shared" si="0"/>
        <v>6.9677419354838714E-5</v>
      </c>
    </row>
    <row r="52" spans="1:10">
      <c r="A52" s="3">
        <v>100</v>
      </c>
      <c r="B52" s="4">
        <v>3.2000000000000003E-4</v>
      </c>
      <c r="C52" s="2">
        <v>195.1</v>
      </c>
      <c r="D52" s="4">
        <v>11890000000000</v>
      </c>
      <c r="E52" s="1">
        <v>0.4</v>
      </c>
      <c r="F52" s="1">
        <v>0.4</v>
      </c>
      <c r="G52" s="1">
        <v>3.3199999999999999E-4</v>
      </c>
      <c r="H52" s="1">
        <v>16.899999999999999</v>
      </c>
      <c r="I52" s="1">
        <v>0.12</v>
      </c>
      <c r="J52" s="1">
        <f t="shared" si="0"/>
        <v>5.1612903225806458E-5</v>
      </c>
    </row>
    <row r="53" spans="1:10">
      <c r="A53" s="3">
        <v>105</v>
      </c>
      <c r="B53" s="4">
        <v>1.45E-4</v>
      </c>
      <c r="C53" s="2">
        <v>208.8</v>
      </c>
      <c r="D53" s="4">
        <v>5033000000000</v>
      </c>
      <c r="E53" s="1">
        <v>0.34</v>
      </c>
      <c r="F53" s="1">
        <v>0.2</v>
      </c>
      <c r="G53" s="1">
        <v>2.8400000000000002E-4</v>
      </c>
      <c r="H53" s="1">
        <v>24.7</v>
      </c>
      <c r="I53" s="1">
        <v>0.11</v>
      </c>
      <c r="J53" s="1">
        <f t="shared" si="0"/>
        <v>4.3870967741935488E-5</v>
      </c>
    </row>
    <row r="54" spans="1:10">
      <c r="A54" s="3">
        <v>110</v>
      </c>
      <c r="B54" s="4">
        <v>7.1000000000000005E-5</v>
      </c>
      <c r="C54" s="2">
        <v>240</v>
      </c>
      <c r="D54" s="4">
        <v>2144000000000</v>
      </c>
      <c r="E54" s="1">
        <v>0.28000000000000003</v>
      </c>
      <c r="F54" s="1">
        <v>0.05</v>
      </c>
      <c r="G54" s="1">
        <v>2.4399999999999999E-4</v>
      </c>
      <c r="H54" s="1">
        <v>33.6</v>
      </c>
      <c r="I54" s="1">
        <v>9.5000000000000001E-2</v>
      </c>
      <c r="J54" s="1">
        <f t="shared" si="0"/>
        <v>3.6129032258064518E-5</v>
      </c>
    </row>
    <row r="55" spans="1:10">
      <c r="A55" s="3">
        <v>115</v>
      </c>
      <c r="B55" s="4">
        <v>4.0099999999999999E-5</v>
      </c>
      <c r="C55" s="2">
        <v>300</v>
      </c>
      <c r="D55" s="4">
        <v>968800000000</v>
      </c>
      <c r="E55" s="1">
        <v>0.24</v>
      </c>
      <c r="F55" s="1">
        <v>5.0000000000000001E-3</v>
      </c>
      <c r="G55" s="1">
        <v>2.12E-4</v>
      </c>
      <c r="H55" s="1">
        <v>41.5</v>
      </c>
      <c r="I55" s="1">
        <v>0.06</v>
      </c>
      <c r="J55" s="1">
        <f t="shared" si="0"/>
        <v>3.0967741935483872E-5</v>
      </c>
    </row>
    <row r="56" spans="1:10">
      <c r="A56" s="3">
        <v>120</v>
      </c>
      <c r="B56" s="4">
        <v>2.5400000000000001E-5</v>
      </c>
      <c r="C56" s="2">
        <v>360</v>
      </c>
      <c r="D56" s="4">
        <v>511400000000</v>
      </c>
      <c r="E56" s="1">
        <v>0.2</v>
      </c>
      <c r="F56" s="1">
        <v>5.0000000000000001E-4</v>
      </c>
      <c r="G56" s="1">
        <v>1.85E-4</v>
      </c>
      <c r="H56" s="1">
        <v>50</v>
      </c>
      <c r="I56" s="1">
        <v>0.03</v>
      </c>
      <c r="J56" s="1">
        <f t="shared" si="0"/>
        <v>2.5806451612903229E-5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3"/>
  <sheetViews>
    <sheetView workbookViewId="0">
      <selection activeCell="J4" sqref="J4:J53"/>
    </sheetView>
  </sheetViews>
  <sheetFormatPr defaultRowHeight="14.4"/>
  <cols>
    <col min="1" max="1" width="10.77734375" customWidth="1"/>
    <col min="2" max="2" width="13.88671875" customWidth="1"/>
    <col min="3" max="3" width="12.6640625" customWidth="1"/>
    <col min="4" max="4" width="14" customWidth="1"/>
    <col min="5" max="5" width="13.77734375" customWidth="1"/>
    <col min="6" max="6" width="13" customWidth="1"/>
    <col min="7" max="7" width="14.6640625" customWidth="1"/>
    <col min="8" max="8" width="13.77734375" customWidth="1"/>
  </cols>
  <sheetData>
    <row r="1" spans="1:16">
      <c r="A1" t="s">
        <v>27</v>
      </c>
    </row>
    <row r="3" spans="1:16">
      <c r="A3" t="s">
        <v>35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37</v>
      </c>
    </row>
    <row r="4" spans="1:16">
      <c r="A4" s="2">
        <v>0</v>
      </c>
      <c r="B4" s="1">
        <v>7750</v>
      </c>
      <c r="C4" s="1">
        <v>330</v>
      </c>
      <c r="D4" s="1">
        <v>2.5999999999999999E-2</v>
      </c>
      <c r="E4" s="1">
        <v>0.32</v>
      </c>
      <c r="F4" s="1">
        <v>0.15</v>
      </c>
      <c r="G4" s="1">
        <v>1.7</v>
      </c>
      <c r="H4" s="1">
        <v>209000</v>
      </c>
      <c r="I4" s="1">
        <v>781000</v>
      </c>
      <c r="J4" s="1">
        <f>B4/$B$4</f>
        <v>1</v>
      </c>
    </row>
    <row r="5" spans="1:16">
      <c r="A5" s="2">
        <v>1</v>
      </c>
      <c r="B5" s="1">
        <v>6070</v>
      </c>
      <c r="C5" s="1">
        <v>330</v>
      </c>
      <c r="D5" s="1">
        <v>2.93E-2</v>
      </c>
      <c r="E5" s="1">
        <v>0.32</v>
      </c>
      <c r="F5" s="1">
        <v>0.14499999999999999</v>
      </c>
      <c r="G5" s="1">
        <v>1.7</v>
      </c>
      <c r="H5" s="1">
        <v>209000</v>
      </c>
      <c r="I5" s="1">
        <v>781000</v>
      </c>
      <c r="J5" s="1">
        <f t="shared" ref="J5:J53" si="0">B5/$B$4</f>
        <v>0.78322580645161288</v>
      </c>
      <c r="K5" s="1"/>
    </row>
    <row r="6" spans="1:16">
      <c r="A6" s="2">
        <v>2</v>
      </c>
      <c r="B6" s="1">
        <v>4030</v>
      </c>
      <c r="C6" s="1">
        <v>330</v>
      </c>
      <c r="D6" s="1">
        <v>3.2399999999999998E-2</v>
      </c>
      <c r="E6" s="1">
        <v>0.32</v>
      </c>
      <c r="F6" s="1">
        <v>0.14000000000000001</v>
      </c>
      <c r="G6" s="1">
        <v>1.7</v>
      </c>
      <c r="H6" s="1">
        <v>209000</v>
      </c>
      <c r="I6" s="1">
        <v>781000</v>
      </c>
      <c r="J6" s="1">
        <f t="shared" si="0"/>
        <v>0.52</v>
      </c>
      <c r="K6" s="1"/>
      <c r="L6" s="1"/>
      <c r="M6" s="1"/>
    </row>
    <row r="7" spans="1:16">
      <c r="A7" s="2">
        <v>3</v>
      </c>
      <c r="B7" s="1">
        <v>3110</v>
      </c>
      <c r="C7" s="1">
        <v>330</v>
      </c>
      <c r="D7" s="1">
        <v>3.32E-2</v>
      </c>
      <c r="E7" s="1">
        <v>0.32</v>
      </c>
      <c r="F7" s="1">
        <v>0.13500000000000001</v>
      </c>
      <c r="G7" s="1">
        <v>1.7</v>
      </c>
      <c r="H7" s="1">
        <v>209000</v>
      </c>
      <c r="I7" s="1">
        <v>781000</v>
      </c>
      <c r="J7" s="1">
        <f t="shared" si="0"/>
        <v>0.40129032258064518</v>
      </c>
      <c r="K7" s="1"/>
      <c r="L7" s="1"/>
      <c r="M7" s="1"/>
      <c r="N7" s="1"/>
    </row>
    <row r="8" spans="1:16">
      <c r="A8" s="2">
        <v>4</v>
      </c>
      <c r="B8" s="1">
        <v>2160</v>
      </c>
      <c r="C8" s="1">
        <v>330</v>
      </c>
      <c r="D8" s="1">
        <v>3.39E-2</v>
      </c>
      <c r="E8" s="1">
        <v>0.32</v>
      </c>
      <c r="F8" s="1">
        <v>0.13100000000000001</v>
      </c>
      <c r="G8" s="1">
        <v>1.7</v>
      </c>
      <c r="H8" s="1">
        <v>209000</v>
      </c>
      <c r="I8" s="1">
        <v>781000</v>
      </c>
      <c r="J8" s="1">
        <f t="shared" si="0"/>
        <v>0.27870967741935482</v>
      </c>
      <c r="K8" s="1"/>
      <c r="M8" s="1"/>
      <c r="O8" s="1"/>
    </row>
    <row r="9" spans="1:16">
      <c r="A9" s="2">
        <v>5</v>
      </c>
      <c r="B9" s="1">
        <v>1400</v>
      </c>
      <c r="C9" s="1">
        <v>330</v>
      </c>
      <c r="D9" s="1">
        <v>3.7699999999999997E-2</v>
      </c>
      <c r="E9" s="1">
        <v>0.32</v>
      </c>
      <c r="F9" s="1">
        <v>0.13</v>
      </c>
      <c r="G9" s="1">
        <v>1.7</v>
      </c>
      <c r="H9" s="1">
        <v>209000</v>
      </c>
      <c r="I9" s="1">
        <v>781000</v>
      </c>
      <c r="J9" s="1">
        <f t="shared" si="0"/>
        <v>0.18064516129032257</v>
      </c>
      <c r="M9" s="1"/>
      <c r="N9" s="1"/>
      <c r="O9" s="1"/>
    </row>
    <row r="10" spans="1:16">
      <c r="A10" s="2">
        <v>6</v>
      </c>
      <c r="B10" s="1">
        <v>925</v>
      </c>
      <c r="C10" s="1">
        <v>330</v>
      </c>
      <c r="D10" s="1">
        <v>4.1099999999999998E-2</v>
      </c>
      <c r="E10" s="1">
        <v>0.32</v>
      </c>
      <c r="F10" s="1">
        <v>0.129</v>
      </c>
      <c r="G10" s="1">
        <v>1.7</v>
      </c>
      <c r="H10" s="1">
        <v>209000</v>
      </c>
      <c r="I10" s="1">
        <v>781000</v>
      </c>
      <c r="J10" s="1">
        <f t="shared" si="0"/>
        <v>0.11935483870967742</v>
      </c>
      <c r="L10" s="1"/>
      <c r="M10" s="1"/>
      <c r="O10" s="1"/>
    </row>
    <row r="11" spans="1:16">
      <c r="A11" s="2">
        <v>7</v>
      </c>
      <c r="B11" s="1">
        <v>572</v>
      </c>
      <c r="C11" s="1">
        <v>330</v>
      </c>
      <c r="D11" s="1">
        <v>5.0099999999999999E-2</v>
      </c>
      <c r="E11" s="1">
        <v>0.32</v>
      </c>
      <c r="F11" s="1">
        <v>0.125</v>
      </c>
      <c r="G11" s="1">
        <v>1.7</v>
      </c>
      <c r="H11" s="1">
        <v>209000</v>
      </c>
      <c r="I11" s="1">
        <v>781000</v>
      </c>
      <c r="J11" s="1">
        <f t="shared" si="0"/>
        <v>7.3806451612903223E-2</v>
      </c>
      <c r="K11" s="1"/>
      <c r="L11" s="1"/>
      <c r="M11" s="1"/>
      <c r="N11" s="1"/>
      <c r="O11" s="1"/>
    </row>
    <row r="12" spans="1:16">
      <c r="A12" s="2">
        <v>8</v>
      </c>
      <c r="B12" s="1">
        <v>367</v>
      </c>
      <c r="C12" s="1">
        <v>330</v>
      </c>
      <c r="D12" s="1">
        <v>5.9700000000000003E-2</v>
      </c>
      <c r="E12" s="1">
        <v>0.32</v>
      </c>
      <c r="F12" s="1">
        <v>0.11899999999999999</v>
      </c>
      <c r="G12" s="1">
        <v>1.7</v>
      </c>
      <c r="H12" s="1">
        <v>209000</v>
      </c>
      <c r="I12" s="1">
        <v>781000</v>
      </c>
      <c r="J12" s="1">
        <f t="shared" si="0"/>
        <v>4.7354838709677417E-2</v>
      </c>
      <c r="M12" s="1"/>
      <c r="N12" s="1"/>
      <c r="O12" s="1"/>
    </row>
    <row r="13" spans="1:16">
      <c r="A13" s="2">
        <v>9</v>
      </c>
      <c r="B13" s="1">
        <v>158</v>
      </c>
      <c r="C13" s="1">
        <v>330</v>
      </c>
      <c r="D13" s="1">
        <v>9.1700000000000004E-2</v>
      </c>
      <c r="E13" s="1">
        <v>0.32</v>
      </c>
      <c r="F13" s="1">
        <v>0.109</v>
      </c>
      <c r="G13" s="1">
        <v>1.69</v>
      </c>
      <c r="H13" s="1">
        <v>209000</v>
      </c>
      <c r="I13" s="1">
        <v>781000</v>
      </c>
      <c r="J13" s="1">
        <f t="shared" si="0"/>
        <v>2.038709677419355E-2</v>
      </c>
      <c r="K13" s="1"/>
      <c r="M13" s="1"/>
      <c r="O13" s="1"/>
    </row>
    <row r="14" spans="1:16">
      <c r="A14" s="2">
        <v>10</v>
      </c>
      <c r="B14" s="1">
        <v>70</v>
      </c>
      <c r="C14" s="1">
        <v>330</v>
      </c>
      <c r="D14" s="1">
        <v>0.13100000000000001</v>
      </c>
      <c r="E14" s="1">
        <v>0.316</v>
      </c>
      <c r="F14" s="1">
        <v>9.9599999999999994E-2</v>
      </c>
      <c r="G14" s="1">
        <v>1.69</v>
      </c>
      <c r="H14" s="1">
        <v>209000</v>
      </c>
      <c r="I14" s="1">
        <v>781000</v>
      </c>
      <c r="J14" s="1">
        <f t="shared" si="0"/>
        <v>9.0322580645161299E-3</v>
      </c>
      <c r="K14" s="1"/>
      <c r="M14" s="1"/>
      <c r="N14" s="1"/>
      <c r="O14" s="1"/>
    </row>
    <row r="15" spans="1:16">
      <c r="A15" s="2">
        <v>11</v>
      </c>
      <c r="B15" s="1">
        <v>36.1</v>
      </c>
      <c r="C15" s="1">
        <v>330</v>
      </c>
      <c r="D15" s="1">
        <v>0.215</v>
      </c>
      <c r="E15" s="1">
        <v>0.314</v>
      </c>
      <c r="F15" s="1">
        <v>8.9599999999999999E-2</v>
      </c>
      <c r="G15" s="1">
        <v>1.68</v>
      </c>
      <c r="H15" s="1">
        <v>209000</v>
      </c>
      <c r="I15" s="1">
        <v>781000</v>
      </c>
      <c r="J15" s="1">
        <f t="shared" si="0"/>
        <v>4.6580645161290327E-3</v>
      </c>
      <c r="L15" s="1"/>
      <c r="M15" s="1"/>
      <c r="N15" s="1"/>
      <c r="O15" s="1"/>
      <c r="P15" s="1"/>
    </row>
    <row r="16" spans="1:16">
      <c r="A16" s="2">
        <v>12</v>
      </c>
      <c r="B16" s="1">
        <v>19.100000000000001</v>
      </c>
      <c r="C16" s="1">
        <v>330</v>
      </c>
      <c r="D16" s="1">
        <v>0.31</v>
      </c>
      <c r="E16" s="1">
        <v>0.31</v>
      </c>
      <c r="F16" s="1">
        <v>7.8100000000000003E-2</v>
      </c>
      <c r="G16" s="1">
        <v>1.66</v>
      </c>
      <c r="H16" s="1">
        <v>209000</v>
      </c>
      <c r="I16" s="1">
        <v>781000</v>
      </c>
      <c r="J16" s="1">
        <f t="shared" si="0"/>
        <v>2.4645161290322583E-3</v>
      </c>
      <c r="L16" s="1"/>
      <c r="M16" s="1"/>
      <c r="N16" s="1"/>
      <c r="O16" s="1"/>
    </row>
    <row r="17" spans="1:15">
      <c r="A17" s="2">
        <v>13</v>
      </c>
      <c r="B17" s="1">
        <v>10.9</v>
      </c>
      <c r="C17" s="1">
        <v>330</v>
      </c>
      <c r="D17" s="1">
        <v>0.38500000000000001</v>
      </c>
      <c r="E17" s="1">
        <v>0.30499999999999999</v>
      </c>
      <c r="F17" s="1">
        <v>6.3700000000000007E-2</v>
      </c>
      <c r="G17" s="1">
        <v>1.65</v>
      </c>
      <c r="H17" s="1">
        <v>209000</v>
      </c>
      <c r="I17" s="1">
        <v>781000</v>
      </c>
      <c r="J17" s="1">
        <f t="shared" si="0"/>
        <v>1.4064516129032258E-3</v>
      </c>
      <c r="K17" s="1"/>
      <c r="N17" s="1"/>
      <c r="O17" s="1"/>
    </row>
    <row r="18" spans="1:15">
      <c r="A18" s="2">
        <v>14</v>
      </c>
      <c r="B18" s="1">
        <v>5.93</v>
      </c>
      <c r="C18" s="1">
        <v>330</v>
      </c>
      <c r="D18" s="1">
        <v>0.503</v>
      </c>
      <c r="E18" s="1">
        <v>0.3</v>
      </c>
      <c r="F18" s="1">
        <v>5.0299999999999997E-2</v>
      </c>
      <c r="G18" s="1">
        <v>1.63</v>
      </c>
      <c r="H18" s="1">
        <v>209000</v>
      </c>
      <c r="I18" s="1">
        <v>781000</v>
      </c>
      <c r="J18" s="1">
        <f t="shared" si="0"/>
        <v>7.6516129032258063E-4</v>
      </c>
      <c r="K18" s="1"/>
      <c r="L18" s="1"/>
      <c r="M18" s="1"/>
      <c r="N18" s="1"/>
      <c r="O18" s="1"/>
    </row>
    <row r="19" spans="1:15">
      <c r="A19" s="2">
        <v>15</v>
      </c>
      <c r="B19" s="1">
        <v>5</v>
      </c>
      <c r="C19" s="1">
        <v>330</v>
      </c>
      <c r="D19" s="1">
        <v>0.65100000000000002</v>
      </c>
      <c r="E19" s="1">
        <v>0.29399999999999998</v>
      </c>
      <c r="F19" s="1">
        <v>3.9399999999999998E-2</v>
      </c>
      <c r="G19" s="1">
        <v>1.61</v>
      </c>
      <c r="H19" s="1">
        <v>209000</v>
      </c>
      <c r="I19" s="1">
        <v>781000</v>
      </c>
      <c r="J19" s="1">
        <f t="shared" si="0"/>
        <v>6.4516129032258064E-4</v>
      </c>
      <c r="K19" s="1"/>
      <c r="L19" s="1"/>
      <c r="M19" s="1"/>
      <c r="O19" s="1"/>
    </row>
    <row r="20" spans="1:15">
      <c r="A20" s="2">
        <v>16</v>
      </c>
      <c r="B20" s="1">
        <v>3.95</v>
      </c>
      <c r="C20" s="1">
        <v>330</v>
      </c>
      <c r="D20" s="1">
        <v>0.87</v>
      </c>
      <c r="E20" s="1">
        <v>0.28799999999999998</v>
      </c>
      <c r="F20" s="1">
        <v>3.0700000000000002E-2</v>
      </c>
      <c r="G20" s="1">
        <v>1.58</v>
      </c>
      <c r="H20" s="1">
        <v>209000</v>
      </c>
      <c r="I20" s="1">
        <v>781000</v>
      </c>
      <c r="J20" s="1">
        <f t="shared" si="0"/>
        <v>5.0967741935483877E-4</v>
      </c>
      <c r="K20" s="1"/>
      <c r="L20" s="1"/>
      <c r="M20" s="1"/>
      <c r="N20" s="1"/>
      <c r="O20" s="1"/>
    </row>
    <row r="21" spans="1:15">
      <c r="A21" s="2">
        <v>17</v>
      </c>
      <c r="B21" s="1">
        <v>3.85</v>
      </c>
      <c r="C21" s="1">
        <v>330</v>
      </c>
      <c r="D21" s="1">
        <v>1.19</v>
      </c>
      <c r="E21" s="1">
        <v>0.27800000000000002</v>
      </c>
      <c r="F21" s="1">
        <v>2.4899999999999999E-2</v>
      </c>
      <c r="G21" s="1">
        <v>1.55</v>
      </c>
      <c r="H21" s="1">
        <v>209000</v>
      </c>
      <c r="I21" s="1">
        <v>781000</v>
      </c>
      <c r="J21" s="1">
        <f t="shared" si="0"/>
        <v>4.9677419354838713E-4</v>
      </c>
      <c r="K21" s="1"/>
      <c r="L21" s="1"/>
      <c r="N21" s="1"/>
      <c r="O21" s="1"/>
    </row>
    <row r="22" spans="1:15">
      <c r="A22" s="2">
        <v>18</v>
      </c>
      <c r="B22" s="1">
        <v>3.83</v>
      </c>
      <c r="C22" s="1">
        <v>330</v>
      </c>
      <c r="D22" s="1">
        <v>1.59</v>
      </c>
      <c r="E22" s="1">
        <v>0.26700000000000002</v>
      </c>
      <c r="F22" s="1">
        <v>1.9699999999999999E-2</v>
      </c>
      <c r="G22" s="1">
        <v>1.52</v>
      </c>
      <c r="H22" s="1">
        <v>209000</v>
      </c>
      <c r="I22" s="1">
        <v>781000</v>
      </c>
      <c r="J22" s="1">
        <f t="shared" si="0"/>
        <v>4.9419354838709678E-4</v>
      </c>
      <c r="K22" s="1"/>
      <c r="L22" s="1"/>
      <c r="M22" s="1"/>
      <c r="N22" s="1"/>
      <c r="O22" s="1"/>
    </row>
    <row r="23" spans="1:15">
      <c r="A23" s="2">
        <v>19</v>
      </c>
      <c r="B23" s="1">
        <v>3.85</v>
      </c>
      <c r="C23" s="1">
        <v>330</v>
      </c>
      <c r="D23" s="1">
        <v>2.0299999999999998</v>
      </c>
      <c r="E23" s="1">
        <v>0.253</v>
      </c>
      <c r="F23" s="1">
        <v>1.55E-2</v>
      </c>
      <c r="G23" s="1">
        <v>1.48</v>
      </c>
      <c r="H23" s="1">
        <v>209000</v>
      </c>
      <c r="I23" s="1">
        <v>781000</v>
      </c>
      <c r="J23" s="1">
        <f t="shared" si="0"/>
        <v>4.9677419354838713E-4</v>
      </c>
      <c r="K23" s="1"/>
      <c r="L23" s="1"/>
      <c r="M23" s="1"/>
      <c r="N23" s="1"/>
      <c r="O23" s="1"/>
    </row>
    <row r="24" spans="1:15">
      <c r="A24" s="2">
        <v>20</v>
      </c>
      <c r="B24" s="1">
        <v>3.9</v>
      </c>
      <c r="C24" s="1">
        <v>330</v>
      </c>
      <c r="D24" s="1">
        <v>2.58</v>
      </c>
      <c r="E24" s="1">
        <v>0.23699999999999999</v>
      </c>
      <c r="F24" s="1">
        <v>1.3299999999999999E-2</v>
      </c>
      <c r="G24" s="1">
        <v>1.42</v>
      </c>
      <c r="H24" s="1">
        <v>209000</v>
      </c>
      <c r="I24" s="1">
        <v>781000</v>
      </c>
      <c r="J24" s="1">
        <f t="shared" si="0"/>
        <v>5.0322580645161289E-4</v>
      </c>
      <c r="K24" s="1"/>
      <c r="L24" s="1"/>
      <c r="M24" s="1"/>
      <c r="N24" s="1"/>
      <c r="O24" s="1"/>
    </row>
    <row r="25" spans="1:15">
      <c r="A25" s="2">
        <v>21</v>
      </c>
      <c r="B25" s="1">
        <v>3.98</v>
      </c>
      <c r="C25" s="1">
        <v>330</v>
      </c>
      <c r="D25" s="1">
        <v>3.03</v>
      </c>
      <c r="E25" s="1">
        <v>0.219</v>
      </c>
      <c r="F25" s="1">
        <v>1.23E-2</v>
      </c>
      <c r="G25" s="1">
        <v>1.38</v>
      </c>
      <c r="H25" s="1">
        <v>209100</v>
      </c>
      <c r="I25" s="1">
        <v>781000</v>
      </c>
      <c r="J25" s="1">
        <f t="shared" si="0"/>
        <v>5.1354838709677419E-4</v>
      </c>
      <c r="K25" s="1"/>
      <c r="L25" s="1"/>
      <c r="M25" s="1"/>
      <c r="N25" s="1"/>
      <c r="O25" s="1"/>
    </row>
    <row r="26" spans="1:15">
      <c r="A26" s="2">
        <v>22</v>
      </c>
      <c r="B26" s="1">
        <v>4.07</v>
      </c>
      <c r="C26" s="1">
        <v>330</v>
      </c>
      <c r="D26" s="1">
        <v>3.65</v>
      </c>
      <c r="E26" s="1">
        <v>0.20499999999999999</v>
      </c>
      <c r="F26" s="1">
        <v>1.23E-2</v>
      </c>
      <c r="G26" s="1">
        <v>1.27</v>
      </c>
      <c r="H26" s="1">
        <v>209000</v>
      </c>
      <c r="I26" s="1">
        <v>781000</v>
      </c>
      <c r="J26" s="1">
        <f t="shared" si="0"/>
        <v>5.2516129032258066E-4</v>
      </c>
      <c r="L26" s="1"/>
      <c r="M26" s="1"/>
      <c r="N26" s="1"/>
      <c r="O26" s="1"/>
    </row>
    <row r="27" spans="1:15">
      <c r="A27" s="2">
        <v>23</v>
      </c>
      <c r="B27" s="1">
        <v>4.2</v>
      </c>
      <c r="C27" s="1">
        <v>330</v>
      </c>
      <c r="D27" s="1">
        <v>4.17</v>
      </c>
      <c r="E27" s="1">
        <v>0.19700000000000001</v>
      </c>
      <c r="F27" s="1">
        <v>1.3100000000000001E-2</v>
      </c>
      <c r="G27" s="1">
        <v>1.19</v>
      </c>
      <c r="H27" s="1">
        <v>209000</v>
      </c>
      <c r="I27" s="1">
        <v>781000</v>
      </c>
      <c r="J27" s="1">
        <f t="shared" si="0"/>
        <v>5.4193548387096772E-4</v>
      </c>
      <c r="K27" s="1"/>
      <c r="L27" s="1"/>
      <c r="M27" s="1"/>
      <c r="N27" s="1"/>
      <c r="O27" s="1"/>
    </row>
    <row r="28" spans="1:15">
      <c r="A28" s="2">
        <v>24</v>
      </c>
      <c r="B28" s="1">
        <v>4.3</v>
      </c>
      <c r="C28" s="1">
        <v>330</v>
      </c>
      <c r="D28" s="1">
        <v>4.63</v>
      </c>
      <c r="E28" s="1">
        <v>0.188</v>
      </c>
      <c r="F28" s="1">
        <v>1.4E-2</v>
      </c>
      <c r="G28" s="1">
        <v>1.1200000000000001</v>
      </c>
      <c r="H28" s="1">
        <v>209000</v>
      </c>
      <c r="I28" s="1">
        <v>781000</v>
      </c>
      <c r="J28" s="1">
        <f t="shared" si="0"/>
        <v>5.5483870967741936E-4</v>
      </c>
      <c r="K28" s="1"/>
      <c r="L28" s="1"/>
      <c r="M28" s="1"/>
      <c r="N28" s="1"/>
      <c r="O28" s="1"/>
    </row>
    <row r="29" spans="1:15">
      <c r="A29" s="2">
        <v>25</v>
      </c>
      <c r="B29" s="1">
        <v>4.43</v>
      </c>
      <c r="C29" s="1">
        <v>330</v>
      </c>
      <c r="D29" s="1">
        <v>5.12</v>
      </c>
      <c r="E29" s="1">
        <v>0.17599999999999999</v>
      </c>
      <c r="F29" s="1">
        <v>1.4999999999999999E-2</v>
      </c>
      <c r="G29" s="1">
        <v>1.06</v>
      </c>
      <c r="H29" s="1">
        <v>209000</v>
      </c>
      <c r="I29" s="1">
        <v>781000</v>
      </c>
      <c r="J29" s="1">
        <f t="shared" si="0"/>
        <v>5.7161290322580642E-4</v>
      </c>
      <c r="K29" s="1"/>
      <c r="L29" s="1"/>
      <c r="M29" s="1"/>
      <c r="N29" s="1"/>
      <c r="O29" s="1"/>
    </row>
    <row r="30" spans="1:15">
      <c r="A30" s="2">
        <v>27.5</v>
      </c>
      <c r="B30" s="1">
        <v>4.58</v>
      </c>
      <c r="C30" s="1">
        <v>330</v>
      </c>
      <c r="D30" s="1">
        <v>5.8</v>
      </c>
      <c r="E30" s="1">
        <v>0.159</v>
      </c>
      <c r="F30" s="1">
        <v>1.6E-2</v>
      </c>
      <c r="G30" s="1">
        <v>0.98699999999999999</v>
      </c>
      <c r="H30" s="1">
        <v>209000</v>
      </c>
      <c r="I30" s="1">
        <v>781000</v>
      </c>
      <c r="J30" s="1">
        <f t="shared" si="0"/>
        <v>5.9096774193548383E-4</v>
      </c>
      <c r="K30" s="1"/>
      <c r="M30" s="1"/>
      <c r="N30" s="1"/>
      <c r="O30" s="1"/>
    </row>
    <row r="31" spans="1:15">
      <c r="A31" s="2">
        <v>30</v>
      </c>
      <c r="B31" s="1">
        <v>4.7300000000000004</v>
      </c>
      <c r="C31" s="1">
        <v>330</v>
      </c>
      <c r="D31" s="1">
        <v>6.55</v>
      </c>
      <c r="E31" s="1">
        <v>0.14199999999999999</v>
      </c>
      <c r="F31" s="1">
        <v>1.7100000000000001E-2</v>
      </c>
      <c r="G31" s="1">
        <v>0.91400000000000003</v>
      </c>
      <c r="H31" s="1">
        <v>209000</v>
      </c>
      <c r="I31" s="1">
        <v>781000</v>
      </c>
      <c r="J31" s="1">
        <f t="shared" si="0"/>
        <v>6.1032258064516135E-4</v>
      </c>
      <c r="K31" s="1"/>
      <c r="L31" s="1"/>
      <c r="M31" s="1"/>
      <c r="N31" s="1"/>
    </row>
    <row r="32" spans="1:15">
      <c r="A32" s="2">
        <v>32.5</v>
      </c>
      <c r="B32" s="1">
        <v>4.83</v>
      </c>
      <c r="C32" s="1">
        <v>330</v>
      </c>
      <c r="D32" s="1">
        <v>7.37</v>
      </c>
      <c r="E32" s="1">
        <v>0.11700000000000001</v>
      </c>
      <c r="F32" s="1">
        <v>1.8499999999999999E-2</v>
      </c>
      <c r="G32" s="1">
        <v>0.83</v>
      </c>
      <c r="H32" s="1">
        <v>209000</v>
      </c>
      <c r="I32" s="1">
        <v>781000</v>
      </c>
      <c r="J32" s="1">
        <f t="shared" si="0"/>
        <v>6.2322580645161288E-4</v>
      </c>
      <c r="K32" s="1"/>
      <c r="L32" s="1"/>
      <c r="M32" s="1"/>
      <c r="N32" s="1"/>
      <c r="O32" s="1"/>
    </row>
    <row r="33" spans="1:16">
      <c r="A33" s="2">
        <v>35</v>
      </c>
      <c r="B33" s="1">
        <v>4.9000000000000004</v>
      </c>
      <c r="C33" s="1">
        <v>330</v>
      </c>
      <c r="D33" s="1">
        <v>7.84</v>
      </c>
      <c r="E33" s="1">
        <v>9.2799999999999994E-2</v>
      </c>
      <c r="F33" s="1">
        <v>2.01E-2</v>
      </c>
      <c r="G33" s="1">
        <v>0.746</v>
      </c>
      <c r="H33" s="1">
        <v>209000</v>
      </c>
      <c r="I33" s="1">
        <v>781000</v>
      </c>
      <c r="J33" s="1">
        <f t="shared" si="0"/>
        <v>6.3225806451612911E-4</v>
      </c>
      <c r="K33" s="1"/>
      <c r="L33" s="1"/>
      <c r="M33" s="1"/>
      <c r="N33" s="1"/>
      <c r="O33" s="1"/>
      <c r="P33" s="1"/>
    </row>
    <row r="34" spans="1:16">
      <c r="A34" s="2">
        <v>37.5</v>
      </c>
      <c r="B34" s="1">
        <v>4.95</v>
      </c>
      <c r="C34" s="1">
        <v>330</v>
      </c>
      <c r="D34" s="1">
        <v>7.6</v>
      </c>
      <c r="E34" s="1">
        <v>6.8900000000000003E-2</v>
      </c>
      <c r="F34" s="1">
        <v>2.2200000000000001E-2</v>
      </c>
      <c r="G34" s="1">
        <v>0.66200000000000003</v>
      </c>
      <c r="H34" s="1">
        <v>209000</v>
      </c>
      <c r="I34" s="1">
        <v>781000</v>
      </c>
      <c r="J34" s="1">
        <f t="shared" si="0"/>
        <v>6.3870967741935488E-4</v>
      </c>
      <c r="K34" s="1"/>
      <c r="L34" s="1"/>
      <c r="M34" s="1"/>
      <c r="N34" s="1"/>
      <c r="O34" s="1"/>
    </row>
    <row r="35" spans="1:16">
      <c r="A35" s="2">
        <v>40</v>
      </c>
      <c r="B35" s="1">
        <v>5.03</v>
      </c>
      <c r="C35" s="1">
        <v>330</v>
      </c>
      <c r="D35" s="1">
        <v>7.3</v>
      </c>
      <c r="E35" s="1">
        <v>4.5100000000000001E-2</v>
      </c>
      <c r="F35" s="1">
        <v>2.5000000000000001E-2</v>
      </c>
      <c r="G35" s="1">
        <v>0.56399999999999995</v>
      </c>
      <c r="H35" s="1">
        <v>209000</v>
      </c>
      <c r="I35" s="1">
        <v>781000</v>
      </c>
      <c r="J35" s="1">
        <f t="shared" si="0"/>
        <v>6.4903225806451617E-4</v>
      </c>
      <c r="K35" s="1"/>
      <c r="L35" s="1"/>
      <c r="M35" s="1"/>
      <c r="N35" s="1"/>
    </row>
    <row r="36" spans="1:16">
      <c r="A36" s="2">
        <v>42.5</v>
      </c>
      <c r="B36" s="1">
        <v>5.15</v>
      </c>
      <c r="C36" s="1">
        <v>330</v>
      </c>
      <c r="D36" s="1">
        <v>6.2</v>
      </c>
      <c r="E36" s="1">
        <v>2.75E-2</v>
      </c>
      <c r="F36" s="1">
        <v>2.8199999999999999E-2</v>
      </c>
      <c r="G36" s="1">
        <v>0.46100000000000002</v>
      </c>
      <c r="H36" s="1">
        <v>209000</v>
      </c>
      <c r="I36" s="1">
        <v>781000</v>
      </c>
      <c r="J36" s="1">
        <f t="shared" si="0"/>
        <v>6.6451612903225816E-4</v>
      </c>
      <c r="K36" s="1"/>
      <c r="L36" s="1"/>
      <c r="M36" s="1"/>
      <c r="N36" s="1"/>
      <c r="O36" s="1"/>
    </row>
    <row r="37" spans="1:16">
      <c r="A37" s="2">
        <v>45</v>
      </c>
      <c r="B37" s="1">
        <v>5.23</v>
      </c>
      <c r="C37" s="1">
        <v>330</v>
      </c>
      <c r="D37" s="1">
        <v>5.25</v>
      </c>
      <c r="E37" s="1">
        <v>1.5900000000000001E-2</v>
      </c>
      <c r="F37" s="1">
        <v>3.2399999999999998E-2</v>
      </c>
      <c r="G37" s="1">
        <v>0.36299999999999999</v>
      </c>
      <c r="H37" s="1">
        <v>209000</v>
      </c>
      <c r="I37" s="1">
        <v>781000</v>
      </c>
      <c r="J37" s="1">
        <f t="shared" si="0"/>
        <v>6.7483870967741946E-4</v>
      </c>
      <c r="L37" s="1"/>
    </row>
    <row r="38" spans="1:16">
      <c r="A38" s="2">
        <v>47.5</v>
      </c>
      <c r="B38" s="1">
        <v>5.25</v>
      </c>
      <c r="C38" s="1">
        <v>330</v>
      </c>
      <c r="D38" s="1">
        <v>4.0999999999999996</v>
      </c>
      <c r="E38" s="1">
        <v>9.7800000000000005E-3</v>
      </c>
      <c r="F38" s="1">
        <v>3.7199999999999997E-2</v>
      </c>
      <c r="G38" s="1">
        <v>0.27700000000000002</v>
      </c>
      <c r="H38" s="1">
        <v>209000</v>
      </c>
      <c r="I38" s="1">
        <v>781000</v>
      </c>
      <c r="J38" s="1">
        <f t="shared" si="0"/>
        <v>6.774193548387097E-4</v>
      </c>
      <c r="K38" s="1"/>
      <c r="L38" s="1"/>
      <c r="M38" s="1"/>
      <c r="N38" s="1"/>
      <c r="O38" s="1"/>
    </row>
    <row r="39" spans="1:16">
      <c r="A39" s="2">
        <v>50</v>
      </c>
      <c r="B39" s="1">
        <v>5.23</v>
      </c>
      <c r="C39" s="1">
        <v>330</v>
      </c>
      <c r="D39" s="1">
        <v>3.1</v>
      </c>
      <c r="E39" s="1">
        <v>4.7499999999999999E-3</v>
      </c>
      <c r="F39" s="1">
        <v>4.5999999999999999E-2</v>
      </c>
      <c r="G39" s="1">
        <v>0.21</v>
      </c>
      <c r="H39" s="1">
        <v>209000</v>
      </c>
      <c r="I39" s="1">
        <v>781000</v>
      </c>
      <c r="J39" s="1">
        <f t="shared" si="0"/>
        <v>6.7483870967741946E-4</v>
      </c>
      <c r="O39" s="1"/>
    </row>
    <row r="40" spans="1:16">
      <c r="A40" s="2">
        <v>55</v>
      </c>
      <c r="B40" s="1">
        <v>5.01</v>
      </c>
      <c r="C40" s="1">
        <v>330</v>
      </c>
      <c r="D40" s="1">
        <v>1.8</v>
      </c>
      <c r="E40" s="1">
        <v>3.0000000000000001E-3</v>
      </c>
      <c r="F40" s="1">
        <v>6.6400000000000001E-2</v>
      </c>
      <c r="G40" s="1">
        <v>0.16500000000000001</v>
      </c>
      <c r="H40" s="1">
        <v>209000</v>
      </c>
      <c r="I40" s="1">
        <v>781000</v>
      </c>
      <c r="J40" s="1">
        <f t="shared" si="0"/>
        <v>6.4645161290322582E-4</v>
      </c>
      <c r="K40" s="1"/>
      <c r="L40" s="1"/>
      <c r="N40" s="1"/>
      <c r="O40" s="1"/>
    </row>
    <row r="41" spans="1:16">
      <c r="A41" s="2">
        <v>60</v>
      </c>
      <c r="B41" s="1">
        <v>4.75</v>
      </c>
      <c r="C41" s="1">
        <v>330</v>
      </c>
      <c r="D41" s="1">
        <v>1.1000000000000001</v>
      </c>
      <c r="E41" s="1">
        <v>2.0699999999999998E-3</v>
      </c>
      <c r="F41" s="1">
        <v>0.107</v>
      </c>
      <c r="G41" s="1">
        <v>0.15</v>
      </c>
      <c r="H41" s="1">
        <v>209000</v>
      </c>
      <c r="I41" s="1">
        <v>781000</v>
      </c>
      <c r="J41" s="1">
        <f t="shared" si="0"/>
        <v>6.1290322580645159E-4</v>
      </c>
      <c r="K41" s="1"/>
      <c r="L41" s="1"/>
      <c r="M41" s="1"/>
      <c r="N41" s="1"/>
      <c r="O41" s="1"/>
    </row>
    <row r="42" spans="1:16">
      <c r="A42" s="2">
        <v>65</v>
      </c>
      <c r="B42" s="1">
        <v>4.2</v>
      </c>
      <c r="C42" s="1">
        <v>330</v>
      </c>
      <c r="D42" s="1">
        <v>0.7</v>
      </c>
      <c r="E42" s="1">
        <v>1.5100000000000001E-3</v>
      </c>
      <c r="F42" s="1">
        <v>0.186</v>
      </c>
      <c r="G42" s="1">
        <v>0.15</v>
      </c>
      <c r="H42" s="1">
        <v>209000</v>
      </c>
      <c r="I42" s="1">
        <v>781000</v>
      </c>
      <c r="J42" s="1">
        <f t="shared" si="0"/>
        <v>5.4193548387096772E-4</v>
      </c>
      <c r="K42" s="1"/>
      <c r="M42" s="1"/>
      <c r="N42" s="1"/>
    </row>
    <row r="43" spans="1:16">
      <c r="A43" s="2">
        <v>70</v>
      </c>
      <c r="B43" s="1">
        <v>3.5</v>
      </c>
      <c r="C43" s="1">
        <v>330</v>
      </c>
      <c r="D43" s="1">
        <v>0.3</v>
      </c>
      <c r="E43" s="1">
        <v>1.15E-3</v>
      </c>
      <c r="F43" s="1">
        <v>0.30599999999999999</v>
      </c>
      <c r="G43" s="1">
        <v>0.15</v>
      </c>
      <c r="H43" s="1">
        <v>209000</v>
      </c>
      <c r="I43" s="1">
        <v>781000</v>
      </c>
      <c r="J43" s="1">
        <f t="shared" si="0"/>
        <v>4.5161290322580643E-4</v>
      </c>
      <c r="K43" s="1"/>
      <c r="L43" s="1"/>
      <c r="M43" s="1"/>
      <c r="N43" s="1"/>
      <c r="O43" s="1"/>
    </row>
    <row r="44" spans="1:16">
      <c r="A44" s="2">
        <v>75</v>
      </c>
      <c r="B44" s="1">
        <v>2.83</v>
      </c>
      <c r="C44" s="1">
        <v>330</v>
      </c>
      <c r="D44" s="1">
        <v>0.25</v>
      </c>
      <c r="E44" s="1">
        <v>8.8900000000000003E-4</v>
      </c>
      <c r="F44" s="1">
        <v>0.63800000000000001</v>
      </c>
      <c r="G44" s="1">
        <v>0.15</v>
      </c>
      <c r="H44" s="1">
        <v>209000</v>
      </c>
      <c r="I44" s="1">
        <v>781000</v>
      </c>
      <c r="J44" s="1">
        <f t="shared" si="0"/>
        <v>3.6516129032258067E-4</v>
      </c>
      <c r="K44" s="1"/>
      <c r="L44" s="1"/>
      <c r="M44" s="1"/>
      <c r="N44" s="1"/>
      <c r="O44" s="1"/>
    </row>
    <row r="45" spans="1:16">
      <c r="A45" s="2">
        <v>80</v>
      </c>
      <c r="B45" s="1">
        <v>2.0499999999999998</v>
      </c>
      <c r="C45" s="1">
        <v>320</v>
      </c>
      <c r="D45" s="1">
        <v>0.3</v>
      </c>
      <c r="E45" s="1">
        <v>7.0600000000000003E-4</v>
      </c>
      <c r="F45" s="1">
        <v>1.5</v>
      </c>
      <c r="G45" s="1">
        <v>0.15</v>
      </c>
      <c r="H45" s="1">
        <v>209000</v>
      </c>
      <c r="I45" s="1">
        <v>781000</v>
      </c>
      <c r="J45" s="1">
        <f t="shared" si="0"/>
        <v>2.6451612903225804E-4</v>
      </c>
      <c r="K45" s="1"/>
      <c r="L45" s="1"/>
      <c r="M45" s="1"/>
      <c r="N45" s="1"/>
      <c r="O45" s="1"/>
    </row>
    <row r="46" spans="1:16">
      <c r="A46" s="2">
        <v>85</v>
      </c>
      <c r="B46" s="1">
        <v>1.33</v>
      </c>
      <c r="C46" s="1">
        <v>320</v>
      </c>
      <c r="D46" s="1">
        <v>0.5</v>
      </c>
      <c r="E46" s="1">
        <v>5.7200000000000003E-4</v>
      </c>
      <c r="F46" s="1">
        <v>3.24</v>
      </c>
      <c r="G46" s="1">
        <v>0.15</v>
      </c>
      <c r="H46" s="1">
        <v>200000</v>
      </c>
      <c r="I46" s="1">
        <v>781000</v>
      </c>
      <c r="J46" s="1">
        <f t="shared" si="0"/>
        <v>1.7161290322580645E-4</v>
      </c>
      <c r="K46" s="1"/>
      <c r="L46" s="1"/>
      <c r="M46" s="1"/>
      <c r="N46" s="1"/>
      <c r="O46" s="1"/>
    </row>
    <row r="47" spans="1:16">
      <c r="A47" s="2">
        <v>90</v>
      </c>
      <c r="B47" s="1">
        <v>0.85</v>
      </c>
      <c r="C47" s="1">
        <v>310</v>
      </c>
      <c r="D47" s="1">
        <v>0.7</v>
      </c>
      <c r="E47" s="1">
        <v>4.7100000000000001E-4</v>
      </c>
      <c r="F47" s="1">
        <v>5.84</v>
      </c>
      <c r="G47" s="1">
        <v>0.14000000000000001</v>
      </c>
      <c r="H47" s="1">
        <v>190000</v>
      </c>
      <c r="I47" s="1">
        <v>780000</v>
      </c>
      <c r="J47" s="1">
        <f t="shared" si="0"/>
        <v>1.0967741935483871E-4</v>
      </c>
      <c r="K47" s="1"/>
      <c r="L47" s="1"/>
      <c r="M47" s="1"/>
      <c r="O47" s="1"/>
    </row>
    <row r="48" spans="1:16">
      <c r="A48" s="2">
        <v>95</v>
      </c>
      <c r="B48" s="1">
        <v>0.54</v>
      </c>
      <c r="C48" s="1">
        <v>270</v>
      </c>
      <c r="D48" s="1">
        <v>0.7</v>
      </c>
      <c r="E48" s="1">
        <v>3.9300000000000001E-4</v>
      </c>
      <c r="F48" s="1">
        <v>10.1</v>
      </c>
      <c r="G48" s="1">
        <v>0.13</v>
      </c>
      <c r="H48" s="1">
        <v>180000</v>
      </c>
      <c r="I48" s="1">
        <v>779000</v>
      </c>
      <c r="J48" s="1">
        <f t="shared" si="0"/>
        <v>6.9677419354838714E-5</v>
      </c>
      <c r="K48" s="1"/>
      <c r="L48" s="1"/>
      <c r="M48" s="1"/>
      <c r="N48" s="1"/>
      <c r="O48" s="1"/>
    </row>
    <row r="49" spans="1:16">
      <c r="A49" s="2">
        <v>100</v>
      </c>
      <c r="B49" s="1">
        <v>0.4</v>
      </c>
      <c r="C49" s="1">
        <v>195</v>
      </c>
      <c r="D49" s="1">
        <v>0.4</v>
      </c>
      <c r="E49" s="1">
        <v>3.3199999999999999E-4</v>
      </c>
      <c r="F49" s="1">
        <v>16.899999999999999</v>
      </c>
      <c r="G49" s="1">
        <v>0.12</v>
      </c>
      <c r="H49" s="1">
        <v>160000</v>
      </c>
      <c r="I49" s="1">
        <v>777000</v>
      </c>
      <c r="J49" s="1">
        <f t="shared" si="0"/>
        <v>5.1612903225806458E-5</v>
      </c>
      <c r="L49" s="1"/>
      <c r="M49" s="1"/>
      <c r="N49" s="1"/>
      <c r="O49" s="1"/>
    </row>
    <row r="50" spans="1:16">
      <c r="A50" s="2">
        <v>105</v>
      </c>
      <c r="B50" s="1">
        <v>0.34</v>
      </c>
      <c r="C50" s="1">
        <v>110</v>
      </c>
      <c r="D50" s="1">
        <v>0.2</v>
      </c>
      <c r="E50" s="1">
        <v>2.8400000000000002E-4</v>
      </c>
      <c r="F50" s="1">
        <v>24.7</v>
      </c>
      <c r="G50" s="1">
        <v>0.11</v>
      </c>
      <c r="H50" s="1">
        <v>140000</v>
      </c>
      <c r="I50" s="1">
        <v>774000</v>
      </c>
      <c r="J50" s="1">
        <f t="shared" si="0"/>
        <v>4.3870967741935488E-5</v>
      </c>
      <c r="K50" s="1"/>
      <c r="M50" s="1"/>
      <c r="N50" s="1"/>
      <c r="O50" s="1"/>
    </row>
    <row r="51" spans="1:16">
      <c r="A51" s="2">
        <v>110</v>
      </c>
      <c r="B51" s="1">
        <v>0.28000000000000003</v>
      </c>
      <c r="C51" s="1">
        <v>60</v>
      </c>
      <c r="D51" s="1">
        <v>0.05</v>
      </c>
      <c r="E51" s="1">
        <v>2.4399999999999999E-4</v>
      </c>
      <c r="F51" s="1">
        <v>33.6</v>
      </c>
      <c r="G51" s="1">
        <v>9.5000000000000001E-2</v>
      </c>
      <c r="H51" s="1">
        <v>120000</v>
      </c>
      <c r="I51" s="1">
        <v>770000</v>
      </c>
      <c r="J51" s="1">
        <f t="shared" si="0"/>
        <v>3.6129032258064518E-5</v>
      </c>
      <c r="K51" s="1"/>
      <c r="L51" s="1"/>
      <c r="M51" s="1"/>
      <c r="N51" s="1"/>
      <c r="O51" s="1"/>
    </row>
    <row r="52" spans="1:16">
      <c r="A52" s="2">
        <v>115</v>
      </c>
      <c r="B52" s="1">
        <v>0.24</v>
      </c>
      <c r="C52" s="1">
        <v>40</v>
      </c>
      <c r="D52" s="1">
        <v>5.0000000000000001E-3</v>
      </c>
      <c r="E52" s="1">
        <v>2.12E-4</v>
      </c>
      <c r="F52" s="1">
        <v>41.5</v>
      </c>
      <c r="G52" s="1">
        <v>0.06</v>
      </c>
      <c r="H52" s="1">
        <v>94000</v>
      </c>
      <c r="I52" s="1">
        <v>765000</v>
      </c>
      <c r="J52" s="1">
        <f t="shared" si="0"/>
        <v>3.0967741935483872E-5</v>
      </c>
      <c r="K52" s="1"/>
      <c r="L52" s="1"/>
      <c r="N52" s="1"/>
      <c r="O52" s="1"/>
      <c r="P52" s="1"/>
    </row>
    <row r="53" spans="1:16">
      <c r="A53" s="2">
        <v>120</v>
      </c>
      <c r="B53" s="1">
        <v>0.2</v>
      </c>
      <c r="C53" s="1">
        <v>35</v>
      </c>
      <c r="D53" s="1">
        <v>5.0000000000000001E-4</v>
      </c>
      <c r="E53" s="1">
        <v>1.85E-4</v>
      </c>
      <c r="F53" s="1">
        <v>50</v>
      </c>
      <c r="G53" s="1">
        <v>0.03</v>
      </c>
      <c r="H53" s="1">
        <v>72500</v>
      </c>
      <c r="I53" s="1">
        <v>760000</v>
      </c>
      <c r="J53" s="1">
        <f t="shared" si="0"/>
        <v>2.5806451612903229E-5</v>
      </c>
      <c r="K53" s="1"/>
      <c r="L53" s="1"/>
      <c r="M53" s="1"/>
      <c r="O5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1a</vt:lpstr>
      <vt:lpstr>Table 1b</vt:lpstr>
      <vt:lpstr>Table 1c</vt:lpstr>
      <vt:lpstr>Table 1d</vt:lpstr>
      <vt:lpstr>Table 1e</vt:lpstr>
      <vt:lpstr>Table 1f</vt:lpstr>
      <vt:lpstr>Table 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2018-12-01T04:22:24Z</dcterms:modified>
</cp:coreProperties>
</file>